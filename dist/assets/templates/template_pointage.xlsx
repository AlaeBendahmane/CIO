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mp64\www\CIO\dist\assets\templates\"/>
    </mc:Choice>
  </mc:AlternateContent>
  <xr:revisionPtr revIDLastSave="0" documentId="13_ncr:1_{0FAFE02D-06ED-4C65-8353-04A21CFB1D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C" sheetId="6" r:id="rId1"/>
    <sheet name="FFFFFF" sheetId="4" state="hidden" r:id="rId2"/>
  </sheets>
  <definedNames>
    <definedName name="_xlnm._FilterDatabase" localSheetId="0" hidden="1">DC!$A$6:$E$6</definedName>
    <definedName name="_xlnm._FilterDatabase" localSheetId="1" hidden="1">FFFFFF!$A$6:$AQ$6</definedName>
    <definedName name="_xlnm.Print_Titles" localSheetId="0">DC!$1:$6</definedName>
  </definedNames>
  <calcPr calcId="181029"/>
</workbook>
</file>

<file path=xl/calcChain.xml><?xml version="1.0" encoding="utf-8"?>
<calcChain xmlns="http://schemas.openxmlformats.org/spreadsheetml/2006/main">
  <c r="AK7" i="4" l="1"/>
  <c r="AK8" i="4"/>
  <c r="AK9" i="4"/>
  <c r="AK10" i="4"/>
  <c r="G5" i="4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</calcChain>
</file>

<file path=xl/sharedStrings.xml><?xml version="1.0" encoding="utf-8"?>
<sst xmlns="http://schemas.openxmlformats.org/spreadsheetml/2006/main" count="66" uniqueCount="31">
  <si>
    <t xml:space="preserve"> </t>
  </si>
  <si>
    <t>Sté</t>
  </si>
  <si>
    <t>ID</t>
  </si>
  <si>
    <t>Agent</t>
  </si>
  <si>
    <t>Campagne</t>
  </si>
  <si>
    <t>L</t>
  </si>
  <si>
    <t>M</t>
  </si>
  <si>
    <t>J</t>
  </si>
  <si>
    <t>V</t>
  </si>
  <si>
    <t>S</t>
  </si>
  <si>
    <t>D</t>
  </si>
  <si>
    <t>Jours</t>
  </si>
  <si>
    <t>Assiduité</t>
  </si>
  <si>
    <t>CDP</t>
  </si>
  <si>
    <t>Nom</t>
  </si>
  <si>
    <t>Prenom</t>
  </si>
  <si>
    <t>CIO</t>
  </si>
  <si>
    <t xml:space="preserve">Prime </t>
  </si>
  <si>
    <t>Remarque</t>
  </si>
  <si>
    <t>Avance</t>
  </si>
  <si>
    <t>FATIMA ZAHRA</t>
  </si>
  <si>
    <t>LAKKAB</t>
  </si>
  <si>
    <t>ACKA</t>
  </si>
  <si>
    <t>STÉPHANE</t>
  </si>
  <si>
    <t>TSHIREZI</t>
  </si>
  <si>
    <t>LUCIE</t>
  </si>
  <si>
    <t>MBUMBA</t>
  </si>
  <si>
    <t>JOERANDY</t>
  </si>
  <si>
    <t>1313/COACH</t>
  </si>
  <si>
    <t>Pointage Décembre 2024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</si>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</sst>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26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0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2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7" fillId="0" borderId="2" xfId="0" applyNumberFormat="1" applyFont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7" fillId="0" borderId="2" xfId="15" applyFont="1" applyBorder="1" applyAlignment="1">
      <alignment horizontal="left" vertical="center"/>
    </xf>
    <xf numFmtId="0" fontId="21" fillId="0" borderId="2" xfId="15" applyFont="1" applyBorder="1" applyAlignment="1">
      <alignment horizontal="left" vertical="center"/>
    </xf>
    <xf numFmtId="0" fontId="17" fillId="0" borderId="2" xfId="15" applyFont="1" applyBorder="1" applyAlignment="1">
      <alignment horizontal="left"/>
    </xf>
    <xf numFmtId="164" fontId="10" fillId="3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" fontId="9" fillId="0" borderId="2" xfId="0" quotePrefix="1" applyNumberFormat="1" applyFont="1" applyBorder="1" applyAlignment="1">
      <alignment horizontal="left" vertical="center"/>
    </xf>
    <xf numFmtId="0" fontId="9" fillId="0" borderId="7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0" fontId="22" fillId="0" borderId="0" xfId="0" applyFont="1"/>
    <xf numFmtId="0" fontId="23" fillId="0" borderId="0" xfId="18" applyFont="1"/>
    <xf numFmtId="164" fontId="10" fillId="4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16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left" vertical="top"/>
    </xf>
    <xf numFmtId="164" fontId="16" fillId="0" borderId="10" xfId="0" applyNumberFormat="1" applyFont="1" applyBorder="1" applyAlignment="1">
      <alignment horizontal="left" vertical="top"/>
    </xf>
    <xf numFmtId="0" fontId="15" fillId="0" borderId="1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</cellXfs>
  <cellStyles count="507">
    <cellStyle name="Normal" xfId="0" builtinId="0"/>
    <cellStyle name="Normal 10" xfId="11" xr:uid="{00000000-0005-0000-0000-000001000000}"/>
    <cellStyle name="Normal 10 2" xfId="26" xr:uid="{00000000-0005-0000-0000-000002000000}"/>
    <cellStyle name="Normal 10 2 2" xfId="54" xr:uid="{00000000-0005-0000-0000-000003000000}"/>
    <cellStyle name="Normal 10 2 2 2" xfId="110" xr:uid="{00000000-0005-0000-0000-000004000000}"/>
    <cellStyle name="Normal 10 2 2 2 2" xfId="222" xr:uid="{00000000-0005-0000-0000-000005000000}"/>
    <cellStyle name="Normal 10 2 2 2 2 2" xfId="446" xr:uid="{22FF6D26-CC7D-4CAF-A5AD-F7E5269DBB12}"/>
    <cellStyle name="Normal 10 2 2 2 3" xfId="334" xr:uid="{DBD902C6-6C87-4AFF-95C7-400F0FA30920}"/>
    <cellStyle name="Normal 10 2 2 3" xfId="166" xr:uid="{00000000-0005-0000-0000-000006000000}"/>
    <cellStyle name="Normal 10 2 2 3 2" xfId="390" xr:uid="{68454308-31EB-4B5A-B805-A041F518AAB5}"/>
    <cellStyle name="Normal 10 2 2 4" xfId="278" xr:uid="{439ECB29-07D6-4ECA-B612-576A42705A3D}"/>
    <cellStyle name="Normal 10 2 2 5" xfId="503" xr:uid="{6DBB949C-2ABE-4AF5-85D3-F2D665C49E46}"/>
    <cellStyle name="Normal 10 2 3" xfId="82" xr:uid="{00000000-0005-0000-0000-000007000000}"/>
    <cellStyle name="Normal 10 2 3 2" xfId="194" xr:uid="{00000000-0005-0000-0000-000008000000}"/>
    <cellStyle name="Normal 10 2 3 2 2" xfId="418" xr:uid="{D40C773C-4727-4C30-A329-EDB7ECA780DD}"/>
    <cellStyle name="Normal 10 2 3 3" xfId="306" xr:uid="{5C54DE08-1F8E-4E38-AE1D-138C598BF20D}"/>
    <cellStyle name="Normal 10 2 4" xfId="138" xr:uid="{00000000-0005-0000-0000-000009000000}"/>
    <cellStyle name="Normal 10 2 4 2" xfId="362" xr:uid="{9D167520-6C11-4741-AE14-A49F28F41090}"/>
    <cellStyle name="Normal 10 2 5" xfId="250" xr:uid="{C55C48A3-1678-49EE-8B77-B14B3875E508}"/>
    <cellStyle name="Normal 10 2 6" xfId="475" xr:uid="{869D3885-5354-4922-9793-9CA424F76F58}"/>
    <cellStyle name="Normal 10 3" xfId="40" xr:uid="{00000000-0005-0000-0000-00000A000000}"/>
    <cellStyle name="Normal 10 3 2" xfId="96" xr:uid="{00000000-0005-0000-0000-00000B000000}"/>
    <cellStyle name="Normal 10 3 2 2" xfId="208" xr:uid="{00000000-0005-0000-0000-00000C000000}"/>
    <cellStyle name="Normal 10 3 2 2 2" xfId="432" xr:uid="{2B19F7C5-40A6-410E-A1F4-E7558F76F581}"/>
    <cellStyle name="Normal 10 3 2 3" xfId="320" xr:uid="{E1687A77-4B92-4FCC-8C4F-AC58927DD048}"/>
    <cellStyle name="Normal 10 3 3" xfId="152" xr:uid="{00000000-0005-0000-0000-00000D000000}"/>
    <cellStyle name="Normal 10 3 3 2" xfId="376" xr:uid="{9D11D930-B70D-4D87-A61D-6E0EDACAE07C}"/>
    <cellStyle name="Normal 10 3 4" xfId="264" xr:uid="{7C8A613C-5F79-4484-B73B-7EA4060E580B}"/>
    <cellStyle name="Normal 10 3 5" xfId="489" xr:uid="{2A1F490F-D3C8-4C41-A237-DE0ABCD4DD9F}"/>
    <cellStyle name="Normal 10 4" xfId="68" xr:uid="{00000000-0005-0000-0000-00000E000000}"/>
    <cellStyle name="Normal 10 4 2" xfId="180" xr:uid="{00000000-0005-0000-0000-00000F000000}"/>
    <cellStyle name="Normal 10 4 2 2" xfId="404" xr:uid="{9A111F8D-233C-4F1C-B610-1C700FD7337D}"/>
    <cellStyle name="Normal 10 4 3" xfId="292" xr:uid="{A7BCB51B-2FF1-4DD4-A502-EFCA02CE06E4}"/>
    <cellStyle name="Normal 10 5" xfId="124" xr:uid="{00000000-0005-0000-0000-000010000000}"/>
    <cellStyle name="Normal 10 5 2" xfId="348" xr:uid="{91E1F688-A325-425F-BFC1-F0B7D181C2E0}"/>
    <cellStyle name="Normal 10 6" xfId="236" xr:uid="{899FBA7B-1CDB-4719-A52D-D11E98392D69}"/>
    <cellStyle name="Normal 10 7" xfId="461" xr:uid="{139ACAD1-35D4-4A6D-BA33-ED6162213490}"/>
    <cellStyle name="Normal 11" xfId="2" xr:uid="{00000000-0005-0000-0000-000011000000}"/>
    <cellStyle name="Normal 11 2" xfId="17" xr:uid="{00000000-0005-0000-0000-000012000000}"/>
    <cellStyle name="Normal 11 2 2" xfId="45" xr:uid="{00000000-0005-0000-0000-000013000000}"/>
    <cellStyle name="Normal 11 2 2 2" xfId="101" xr:uid="{00000000-0005-0000-0000-000014000000}"/>
    <cellStyle name="Normal 11 2 2 2 2" xfId="213" xr:uid="{00000000-0005-0000-0000-000015000000}"/>
    <cellStyle name="Normal 11 2 2 2 2 2" xfId="437" xr:uid="{D2585473-6160-47CF-AFB3-A168DDE33E5D}"/>
    <cellStyle name="Normal 11 2 2 2 3" xfId="325" xr:uid="{B3B4557D-F4DC-4FA0-B1E2-5E2F51C64CE2}"/>
    <cellStyle name="Normal 11 2 2 3" xfId="157" xr:uid="{00000000-0005-0000-0000-000016000000}"/>
    <cellStyle name="Normal 11 2 2 3 2" xfId="381" xr:uid="{90DDD239-99A4-4F84-8AD2-D61BE48B8890}"/>
    <cellStyle name="Normal 11 2 2 4" xfId="269" xr:uid="{E527D036-81E5-4080-A404-BEE82DBD1CDD}"/>
    <cellStyle name="Normal 11 2 2 5" xfId="494" xr:uid="{B31C5838-10D8-489C-BBE8-D51F185EFB9C}"/>
    <cellStyle name="Normal 11 2 3" xfId="73" xr:uid="{00000000-0005-0000-0000-000017000000}"/>
    <cellStyle name="Normal 11 2 3 2" xfId="185" xr:uid="{00000000-0005-0000-0000-000018000000}"/>
    <cellStyle name="Normal 11 2 3 2 2" xfId="409" xr:uid="{0E7191F7-7382-4F70-9A24-87CB2210E392}"/>
    <cellStyle name="Normal 11 2 3 3" xfId="297" xr:uid="{AE537EB6-AD32-4B4D-AE3C-21EB00EE2951}"/>
    <cellStyle name="Normal 11 2 4" xfId="129" xr:uid="{00000000-0005-0000-0000-000019000000}"/>
    <cellStyle name="Normal 11 2 4 2" xfId="353" xr:uid="{675D57E0-9FBF-4E8A-86A3-0F778155078C}"/>
    <cellStyle name="Normal 11 2 5" xfId="241" xr:uid="{B6FA505A-0FFE-468D-8409-45661AFA8155}"/>
    <cellStyle name="Normal 11 2 6" xfId="466" xr:uid="{4AE2D4B5-9441-4DC7-9CF2-15C2FA08FFAD}"/>
    <cellStyle name="Normal 11 3" xfId="31" xr:uid="{00000000-0005-0000-0000-00001A000000}"/>
    <cellStyle name="Normal 11 3 2" xfId="87" xr:uid="{00000000-0005-0000-0000-00001B000000}"/>
    <cellStyle name="Normal 11 3 2 2" xfId="199" xr:uid="{00000000-0005-0000-0000-00001C000000}"/>
    <cellStyle name="Normal 11 3 2 2 2" xfId="423" xr:uid="{7D167EA6-49D1-4CF4-811A-216A9C2B16F9}"/>
    <cellStyle name="Normal 11 3 2 3" xfId="311" xr:uid="{83C6FDD4-DBB1-4599-B7E2-F2973D7202B3}"/>
    <cellStyle name="Normal 11 3 3" xfId="143" xr:uid="{00000000-0005-0000-0000-00001D000000}"/>
    <cellStyle name="Normal 11 3 3 2" xfId="367" xr:uid="{F9F2BEE3-2B81-4EA2-9571-ED303A0C09F4}"/>
    <cellStyle name="Normal 11 3 4" xfId="255" xr:uid="{85C4AFB9-C94A-4256-B431-5AF0A5A4F229}"/>
    <cellStyle name="Normal 11 3 5" xfId="480" xr:uid="{03A75EAD-8C15-48C2-B68C-1DFDF3EE01C1}"/>
    <cellStyle name="Normal 11 4" xfId="59" xr:uid="{00000000-0005-0000-0000-00001E000000}"/>
    <cellStyle name="Normal 11 4 2" xfId="171" xr:uid="{00000000-0005-0000-0000-00001F000000}"/>
    <cellStyle name="Normal 11 4 2 2" xfId="395" xr:uid="{43A4F7FB-44A2-46E9-926B-DD2027AEE00A}"/>
    <cellStyle name="Normal 11 4 3" xfId="283" xr:uid="{E63391F8-2A15-4535-85E0-0A559D11411D}"/>
    <cellStyle name="Normal 11 5" xfId="115" xr:uid="{00000000-0005-0000-0000-000020000000}"/>
    <cellStyle name="Normal 11 5 2" xfId="339" xr:uid="{FCCA1882-8B62-493A-A958-B161926F48E9}"/>
    <cellStyle name="Normal 11 6" xfId="227" xr:uid="{D7C07768-F3F6-4715-90DC-8C7FCA86741E}"/>
    <cellStyle name="Normal 11 7" xfId="452" xr:uid="{4FA33DEC-81D6-41EE-9B4D-720986BB8F24}"/>
    <cellStyle name="Normal 12" xfId="4" xr:uid="{00000000-0005-0000-0000-000021000000}"/>
    <cellStyle name="Normal 12 2" xfId="19" xr:uid="{00000000-0005-0000-0000-000022000000}"/>
    <cellStyle name="Normal 12 2 2" xfId="47" xr:uid="{00000000-0005-0000-0000-000023000000}"/>
    <cellStyle name="Normal 12 2 2 2" xfId="103" xr:uid="{00000000-0005-0000-0000-000024000000}"/>
    <cellStyle name="Normal 12 2 2 2 2" xfId="215" xr:uid="{00000000-0005-0000-0000-000025000000}"/>
    <cellStyle name="Normal 12 2 2 2 2 2" xfId="439" xr:uid="{2BCD3C5A-79A8-450E-A85C-DDF95323B4D5}"/>
    <cellStyle name="Normal 12 2 2 2 3" xfId="327" xr:uid="{601092B5-B88B-474A-B690-42FCC731658A}"/>
    <cellStyle name="Normal 12 2 2 3" xfId="159" xr:uid="{00000000-0005-0000-0000-000026000000}"/>
    <cellStyle name="Normal 12 2 2 3 2" xfId="383" xr:uid="{4F9B4BD1-DE07-43F1-9FAE-86BB9335DC3E}"/>
    <cellStyle name="Normal 12 2 2 4" xfId="271" xr:uid="{B152BA2D-FC37-41B7-B68F-DF1C2FFFB2F4}"/>
    <cellStyle name="Normal 12 2 2 5" xfId="496" xr:uid="{0F83CD9C-8F15-4F4D-BADF-B1E098001331}"/>
    <cellStyle name="Normal 12 2 3" xfId="75" xr:uid="{00000000-0005-0000-0000-000027000000}"/>
    <cellStyle name="Normal 12 2 3 2" xfId="187" xr:uid="{00000000-0005-0000-0000-000028000000}"/>
    <cellStyle name="Normal 12 2 3 2 2" xfId="411" xr:uid="{480D3DDB-1222-40C2-8A35-F44D93940F06}"/>
    <cellStyle name="Normal 12 2 3 3" xfId="299" xr:uid="{B02972EC-9811-46B5-A699-3DE111F3656F}"/>
    <cellStyle name="Normal 12 2 4" xfId="131" xr:uid="{00000000-0005-0000-0000-000029000000}"/>
    <cellStyle name="Normal 12 2 4 2" xfId="355" xr:uid="{FF7EA142-4AAF-45D1-ADFA-DBE3D701520F}"/>
    <cellStyle name="Normal 12 2 5" xfId="243" xr:uid="{B9A19D96-93C3-4223-BAF2-3B4F0F43A38C}"/>
    <cellStyle name="Normal 12 2 6" xfId="468" xr:uid="{FBB6B96E-0047-4189-AD43-C06F16A5B2BE}"/>
    <cellStyle name="Normal 12 3" xfId="33" xr:uid="{00000000-0005-0000-0000-00002A000000}"/>
    <cellStyle name="Normal 12 3 2" xfId="89" xr:uid="{00000000-0005-0000-0000-00002B000000}"/>
    <cellStyle name="Normal 12 3 2 2" xfId="201" xr:uid="{00000000-0005-0000-0000-00002C000000}"/>
    <cellStyle name="Normal 12 3 2 2 2" xfId="425" xr:uid="{96E27562-FC9F-41FD-A8BD-C4F35FEF3DED}"/>
    <cellStyle name="Normal 12 3 2 3" xfId="313" xr:uid="{E2F10E48-EAA5-4086-AE20-5E6D0F9306AD}"/>
    <cellStyle name="Normal 12 3 3" xfId="145" xr:uid="{00000000-0005-0000-0000-00002D000000}"/>
    <cellStyle name="Normal 12 3 3 2" xfId="369" xr:uid="{731BC51D-4B11-4DAB-A2B0-42BB39BA3B4C}"/>
    <cellStyle name="Normal 12 3 4" xfId="257" xr:uid="{20F8DF60-AE1D-4E1B-81CB-FF98CB93C3D5}"/>
    <cellStyle name="Normal 12 3 5" xfId="482" xr:uid="{4C82BD9E-6D46-4A4F-B7BD-E2458B77B4FC}"/>
    <cellStyle name="Normal 12 4" xfId="61" xr:uid="{00000000-0005-0000-0000-00002E000000}"/>
    <cellStyle name="Normal 12 4 2" xfId="173" xr:uid="{00000000-0005-0000-0000-00002F000000}"/>
    <cellStyle name="Normal 12 4 2 2" xfId="397" xr:uid="{111F6B2B-2F41-4969-897B-93A8CACD0D7A}"/>
    <cellStyle name="Normal 12 4 3" xfId="285" xr:uid="{61256A80-98BE-4003-9785-E024596B9541}"/>
    <cellStyle name="Normal 12 5" xfId="117" xr:uid="{00000000-0005-0000-0000-000030000000}"/>
    <cellStyle name="Normal 12 5 2" xfId="341" xr:uid="{28D6C356-FAB9-4CC4-B6E5-7B404AF3AE6C}"/>
    <cellStyle name="Normal 12 6" xfId="229" xr:uid="{07BA2022-F2ED-4E03-8140-18C05A8BA398}"/>
    <cellStyle name="Normal 12 7" xfId="454" xr:uid="{34E53546-6294-4C26-85E4-9A01679DA7E3}"/>
    <cellStyle name="Normal 13" xfId="5" xr:uid="{00000000-0005-0000-0000-000031000000}"/>
    <cellStyle name="Normal 13 2" xfId="20" xr:uid="{00000000-0005-0000-0000-000032000000}"/>
    <cellStyle name="Normal 13 2 2" xfId="48" xr:uid="{00000000-0005-0000-0000-000033000000}"/>
    <cellStyle name="Normal 13 2 2 2" xfId="104" xr:uid="{00000000-0005-0000-0000-000034000000}"/>
    <cellStyle name="Normal 13 2 2 2 2" xfId="216" xr:uid="{00000000-0005-0000-0000-000035000000}"/>
    <cellStyle name="Normal 13 2 2 2 2 2" xfId="440" xr:uid="{3772DCDC-AB27-488D-A38E-E9FF7FB9DA20}"/>
    <cellStyle name="Normal 13 2 2 2 3" xfId="328" xr:uid="{9EB7C411-0D64-4D72-8AD0-58DB4782AB01}"/>
    <cellStyle name="Normal 13 2 2 3" xfId="160" xr:uid="{00000000-0005-0000-0000-000036000000}"/>
    <cellStyle name="Normal 13 2 2 3 2" xfId="384" xr:uid="{BEC98769-D9E1-493E-817B-9D191C172369}"/>
    <cellStyle name="Normal 13 2 2 4" xfId="272" xr:uid="{973B3F66-6E15-4FBB-9D03-516AA164E9D6}"/>
    <cellStyle name="Normal 13 2 2 5" xfId="497" xr:uid="{8E11B546-65F6-4824-A77E-9461A99B1A9F}"/>
    <cellStyle name="Normal 13 2 3" xfId="76" xr:uid="{00000000-0005-0000-0000-000037000000}"/>
    <cellStyle name="Normal 13 2 3 2" xfId="188" xr:uid="{00000000-0005-0000-0000-000038000000}"/>
    <cellStyle name="Normal 13 2 3 2 2" xfId="412" xr:uid="{DE97F788-1055-428C-BEE1-9AA1FEF0EE4C}"/>
    <cellStyle name="Normal 13 2 3 3" xfId="300" xr:uid="{7C2B958C-C9AD-4933-812D-1527D713C191}"/>
    <cellStyle name="Normal 13 2 4" xfId="132" xr:uid="{00000000-0005-0000-0000-000039000000}"/>
    <cellStyle name="Normal 13 2 4 2" xfId="356" xr:uid="{37715871-645B-4E1A-978C-4F0AE2B9EC46}"/>
    <cellStyle name="Normal 13 2 5" xfId="244" xr:uid="{004A0CF9-90F2-45AB-A866-BA2FCE94D1B7}"/>
    <cellStyle name="Normal 13 2 6" xfId="469" xr:uid="{623CC207-28D2-4C3C-A062-19079B4A1D65}"/>
    <cellStyle name="Normal 13 3" xfId="34" xr:uid="{00000000-0005-0000-0000-00003A000000}"/>
    <cellStyle name="Normal 13 3 2" xfId="90" xr:uid="{00000000-0005-0000-0000-00003B000000}"/>
    <cellStyle name="Normal 13 3 2 2" xfId="202" xr:uid="{00000000-0005-0000-0000-00003C000000}"/>
    <cellStyle name="Normal 13 3 2 2 2" xfId="426" xr:uid="{3FE2B635-EFF8-4FE2-93FA-E49C0A931ED0}"/>
    <cellStyle name="Normal 13 3 2 3" xfId="314" xr:uid="{83EF81B1-E809-48A3-926C-9A7B543C05D2}"/>
    <cellStyle name="Normal 13 3 3" xfId="146" xr:uid="{00000000-0005-0000-0000-00003D000000}"/>
    <cellStyle name="Normal 13 3 3 2" xfId="370" xr:uid="{F619CF26-832A-4EEE-A789-991684DF4207}"/>
    <cellStyle name="Normal 13 3 4" xfId="258" xr:uid="{0188BF27-0EFF-4A84-9CE7-4F900B4AF3A3}"/>
    <cellStyle name="Normal 13 3 5" xfId="483" xr:uid="{39375A92-DC23-4116-958C-3575CD6EA091}"/>
    <cellStyle name="Normal 13 4" xfId="62" xr:uid="{00000000-0005-0000-0000-00003E000000}"/>
    <cellStyle name="Normal 13 4 2" xfId="174" xr:uid="{00000000-0005-0000-0000-00003F000000}"/>
    <cellStyle name="Normal 13 4 2 2" xfId="398" xr:uid="{8C25FF5D-3A6D-474A-80FC-888615B22D5A}"/>
    <cellStyle name="Normal 13 4 3" xfId="286" xr:uid="{0F747709-6179-465A-9766-869F7E3DA567}"/>
    <cellStyle name="Normal 13 5" xfId="118" xr:uid="{00000000-0005-0000-0000-000040000000}"/>
    <cellStyle name="Normal 13 5 2" xfId="342" xr:uid="{BA86DF99-DDF8-4F10-9FF0-79C499DAAFB9}"/>
    <cellStyle name="Normal 13 6" xfId="230" xr:uid="{871D65F2-2048-4010-8DB6-DF847BBDC105}"/>
    <cellStyle name="Normal 13 7" xfId="455" xr:uid="{7BD9D365-1555-4ADA-9D9C-AA3F21CCC789}"/>
    <cellStyle name="Normal 14" xfId="6" xr:uid="{00000000-0005-0000-0000-000041000000}"/>
    <cellStyle name="Normal 14 2" xfId="21" xr:uid="{00000000-0005-0000-0000-000042000000}"/>
    <cellStyle name="Normal 14 2 2" xfId="49" xr:uid="{00000000-0005-0000-0000-000043000000}"/>
    <cellStyle name="Normal 14 2 2 2" xfId="105" xr:uid="{00000000-0005-0000-0000-000044000000}"/>
    <cellStyle name="Normal 14 2 2 2 2" xfId="217" xr:uid="{00000000-0005-0000-0000-000045000000}"/>
    <cellStyle name="Normal 14 2 2 2 2 2" xfId="441" xr:uid="{6CD5BB72-4C0C-459A-B2D3-8E5853F6CD53}"/>
    <cellStyle name="Normal 14 2 2 2 3" xfId="329" xr:uid="{A36EE723-8EB8-4A50-8238-5A5E51F8E0BC}"/>
    <cellStyle name="Normal 14 2 2 3" xfId="161" xr:uid="{00000000-0005-0000-0000-000046000000}"/>
    <cellStyle name="Normal 14 2 2 3 2" xfId="385" xr:uid="{304232D4-5609-403A-ACD3-082D261172F1}"/>
    <cellStyle name="Normal 14 2 2 4" xfId="273" xr:uid="{F94C622A-B220-48BC-A5BD-27E1D324EEC7}"/>
    <cellStyle name="Normal 14 2 2 5" xfId="498" xr:uid="{BE24EF86-F4C4-41A3-9125-88A6E383076C}"/>
    <cellStyle name="Normal 14 2 3" xfId="77" xr:uid="{00000000-0005-0000-0000-000047000000}"/>
    <cellStyle name="Normal 14 2 3 2" xfId="189" xr:uid="{00000000-0005-0000-0000-000048000000}"/>
    <cellStyle name="Normal 14 2 3 2 2" xfId="413" xr:uid="{51E04DD0-439B-4007-B222-99171F1CBD09}"/>
    <cellStyle name="Normal 14 2 3 3" xfId="301" xr:uid="{A616FC3F-F324-40EE-9285-BCDBF45C7F39}"/>
    <cellStyle name="Normal 14 2 4" xfId="133" xr:uid="{00000000-0005-0000-0000-000049000000}"/>
    <cellStyle name="Normal 14 2 4 2" xfId="357" xr:uid="{D26C80A1-FE46-4BD3-8D80-992981650FBE}"/>
    <cellStyle name="Normal 14 2 5" xfId="245" xr:uid="{872541C3-CC08-4952-94AC-AA94632CA55A}"/>
    <cellStyle name="Normal 14 2 6" xfId="470" xr:uid="{84971839-16A5-4671-9999-55998A6A8C00}"/>
    <cellStyle name="Normal 14 3" xfId="35" xr:uid="{00000000-0005-0000-0000-00004A000000}"/>
    <cellStyle name="Normal 14 3 2" xfId="91" xr:uid="{00000000-0005-0000-0000-00004B000000}"/>
    <cellStyle name="Normal 14 3 2 2" xfId="203" xr:uid="{00000000-0005-0000-0000-00004C000000}"/>
    <cellStyle name="Normal 14 3 2 2 2" xfId="427" xr:uid="{7A4B1406-D6F0-492B-BD29-873ED4E8EF2F}"/>
    <cellStyle name="Normal 14 3 2 3" xfId="315" xr:uid="{F70A8A55-D322-4DB7-AEA5-62F484132F17}"/>
    <cellStyle name="Normal 14 3 3" xfId="147" xr:uid="{00000000-0005-0000-0000-00004D000000}"/>
    <cellStyle name="Normal 14 3 3 2" xfId="371" xr:uid="{8533885B-2CFC-4F30-BA49-0C220457BA7A}"/>
    <cellStyle name="Normal 14 3 4" xfId="259" xr:uid="{98BE10FD-F47E-4034-AC29-718B9E571A0A}"/>
    <cellStyle name="Normal 14 3 5" xfId="484" xr:uid="{8DF0ADF2-BF52-4BDC-B69A-088B73763336}"/>
    <cellStyle name="Normal 14 4" xfId="63" xr:uid="{00000000-0005-0000-0000-00004E000000}"/>
    <cellStyle name="Normal 14 4 2" xfId="175" xr:uid="{00000000-0005-0000-0000-00004F000000}"/>
    <cellStyle name="Normal 14 4 2 2" xfId="399" xr:uid="{0568AC85-9A1D-4F1C-A0DD-4507714426C2}"/>
    <cellStyle name="Normal 14 4 3" xfId="287" xr:uid="{01E993D4-2C20-4546-8229-E1F6955A4675}"/>
    <cellStyle name="Normal 14 5" xfId="119" xr:uid="{00000000-0005-0000-0000-000050000000}"/>
    <cellStyle name="Normal 14 5 2" xfId="343" xr:uid="{484277C6-71F5-4475-A16D-6A00ACB705F6}"/>
    <cellStyle name="Normal 14 6" xfId="231" xr:uid="{3F88E387-BF61-4DC7-9E2A-377FA31B4C07}"/>
    <cellStyle name="Normal 14 7" xfId="456" xr:uid="{82AF7B10-3FBB-4A71-8C72-69692F9C3FDE}"/>
    <cellStyle name="Normal 15" xfId="10" xr:uid="{00000000-0005-0000-0000-000051000000}"/>
    <cellStyle name="Normal 15 2" xfId="25" xr:uid="{00000000-0005-0000-0000-000052000000}"/>
    <cellStyle name="Normal 15 2 2" xfId="53" xr:uid="{00000000-0005-0000-0000-000053000000}"/>
    <cellStyle name="Normal 15 2 2 2" xfId="109" xr:uid="{00000000-0005-0000-0000-000054000000}"/>
    <cellStyle name="Normal 15 2 2 2 2" xfId="221" xr:uid="{00000000-0005-0000-0000-000055000000}"/>
    <cellStyle name="Normal 15 2 2 2 2 2" xfId="445" xr:uid="{14406948-9DD1-4D92-8553-CABCE3E2AF85}"/>
    <cellStyle name="Normal 15 2 2 2 3" xfId="333" xr:uid="{2A87E35D-CDE0-4B38-AC32-A2443B882A4E}"/>
    <cellStyle name="Normal 15 2 2 3" xfId="165" xr:uid="{00000000-0005-0000-0000-000056000000}"/>
    <cellStyle name="Normal 15 2 2 3 2" xfId="389" xr:uid="{FD3B2AEE-B457-4C17-9D62-D82A5C338DB8}"/>
    <cellStyle name="Normal 15 2 2 4" xfId="277" xr:uid="{CAC7109F-5396-4675-B2F3-378ACBED98AA}"/>
    <cellStyle name="Normal 15 2 2 5" xfId="502" xr:uid="{C7FCFBB5-9D00-426B-BDF7-0B55A1186A68}"/>
    <cellStyle name="Normal 15 2 3" xfId="81" xr:uid="{00000000-0005-0000-0000-000057000000}"/>
    <cellStyle name="Normal 15 2 3 2" xfId="193" xr:uid="{00000000-0005-0000-0000-000058000000}"/>
    <cellStyle name="Normal 15 2 3 2 2" xfId="417" xr:uid="{CA932B9E-D068-4F33-8A22-52009FC10C76}"/>
    <cellStyle name="Normal 15 2 3 3" xfId="305" xr:uid="{B31B004E-4E0A-4B64-9F91-FA5FA1B6A0D1}"/>
    <cellStyle name="Normal 15 2 4" xfId="137" xr:uid="{00000000-0005-0000-0000-000059000000}"/>
    <cellStyle name="Normal 15 2 4 2" xfId="361" xr:uid="{60B9D002-78B6-4ABB-A200-423E93040CFE}"/>
    <cellStyle name="Normal 15 2 5" xfId="249" xr:uid="{75B9C118-3358-471C-B9E2-F77C330F9EEE}"/>
    <cellStyle name="Normal 15 2 6" xfId="474" xr:uid="{04DCCD56-2B10-4545-BC22-066F4F393D18}"/>
    <cellStyle name="Normal 15 3" xfId="39" xr:uid="{00000000-0005-0000-0000-00005A000000}"/>
    <cellStyle name="Normal 15 3 2" xfId="95" xr:uid="{00000000-0005-0000-0000-00005B000000}"/>
    <cellStyle name="Normal 15 3 2 2" xfId="207" xr:uid="{00000000-0005-0000-0000-00005C000000}"/>
    <cellStyle name="Normal 15 3 2 2 2" xfId="431" xr:uid="{24D41E71-9059-4E08-AD06-BBD09156B777}"/>
    <cellStyle name="Normal 15 3 2 3" xfId="319" xr:uid="{149800AE-F1ED-4AF4-9D71-F22B5CBEA90A}"/>
    <cellStyle name="Normal 15 3 3" xfId="151" xr:uid="{00000000-0005-0000-0000-00005D000000}"/>
    <cellStyle name="Normal 15 3 3 2" xfId="375" xr:uid="{A9345004-6FBF-42CE-B0CF-46E13CF75CBA}"/>
    <cellStyle name="Normal 15 3 4" xfId="263" xr:uid="{0E6B2530-BD78-4EDD-825B-41B8113F3551}"/>
    <cellStyle name="Normal 15 3 5" xfId="488" xr:uid="{3A885B32-E666-4F93-B8F0-A5BA4C054470}"/>
    <cellStyle name="Normal 15 4" xfId="67" xr:uid="{00000000-0005-0000-0000-00005E000000}"/>
    <cellStyle name="Normal 15 4 2" xfId="179" xr:uid="{00000000-0005-0000-0000-00005F000000}"/>
    <cellStyle name="Normal 15 4 2 2" xfId="403" xr:uid="{786A4186-B3F2-40E2-B477-D58A6FAE9687}"/>
    <cellStyle name="Normal 15 4 3" xfId="291" xr:uid="{42031669-A7A1-49E8-B86C-5D03544FE9B0}"/>
    <cellStyle name="Normal 15 5" xfId="123" xr:uid="{00000000-0005-0000-0000-000060000000}"/>
    <cellStyle name="Normal 15 5 2" xfId="347" xr:uid="{0110ACE1-68CF-4719-8545-6CF7A4B5F75E}"/>
    <cellStyle name="Normal 15 6" xfId="235" xr:uid="{5E4DB4AC-C2FD-45F4-B938-F992DF3E8FC3}"/>
    <cellStyle name="Normal 15 7" xfId="460" xr:uid="{26ECEB5A-615A-4848-8828-EBD361710326}"/>
    <cellStyle name="Normal 16" xfId="15" xr:uid="{00000000-0005-0000-0000-000061000000}"/>
    <cellStyle name="Normal 2" xfId="3" xr:uid="{00000000-0005-0000-0000-000062000000}"/>
    <cellStyle name="Normal 2 2" xfId="18" xr:uid="{00000000-0005-0000-0000-000063000000}"/>
    <cellStyle name="Normal 2 2 2" xfId="46" xr:uid="{00000000-0005-0000-0000-000064000000}"/>
    <cellStyle name="Normal 2 2 2 2" xfId="102" xr:uid="{00000000-0005-0000-0000-000065000000}"/>
    <cellStyle name="Normal 2 2 2 2 2" xfId="214" xr:uid="{00000000-0005-0000-0000-000066000000}"/>
    <cellStyle name="Normal 2 2 2 2 2 2" xfId="438" xr:uid="{69AE4DAC-E6C5-4F16-B40F-44C15AC47176}"/>
    <cellStyle name="Normal 2 2 2 2 3" xfId="326" xr:uid="{DFD63143-74FF-4BA6-A6EE-420C328F6307}"/>
    <cellStyle name="Normal 2 2 2 3" xfId="158" xr:uid="{00000000-0005-0000-0000-000067000000}"/>
    <cellStyle name="Normal 2 2 2 3 2" xfId="382" xr:uid="{FAE2B831-D50A-430E-92E4-4E653AC7E294}"/>
    <cellStyle name="Normal 2 2 2 4" xfId="270" xr:uid="{6D82EF59-EA67-456E-A8E2-0360AABE0539}"/>
    <cellStyle name="Normal 2 2 2 5" xfId="495" xr:uid="{379D2EC9-E2AF-46C4-84CF-82C3F2454B2E}"/>
    <cellStyle name="Normal 2 2 3" xfId="74" xr:uid="{00000000-0005-0000-0000-000068000000}"/>
    <cellStyle name="Normal 2 2 3 2" xfId="186" xr:uid="{00000000-0005-0000-0000-000069000000}"/>
    <cellStyle name="Normal 2 2 3 2 2" xfId="410" xr:uid="{BE1DB435-0D87-4CCF-94AB-A5CC06949A4A}"/>
    <cellStyle name="Normal 2 2 3 3" xfId="298" xr:uid="{1C3B381F-0F4E-4219-9D43-8A5F339AAB93}"/>
    <cellStyle name="Normal 2 2 4" xfId="130" xr:uid="{00000000-0005-0000-0000-00006A000000}"/>
    <cellStyle name="Normal 2 2 4 2" xfId="354" xr:uid="{40CC7CBB-82EC-482E-98CA-4B200722606E}"/>
    <cellStyle name="Normal 2 2 5" xfId="242" xr:uid="{7EE83079-4B4F-4E0A-BF05-73D28C87AF75}"/>
    <cellStyle name="Normal 2 2 6" xfId="467" xr:uid="{B577196C-0C46-42AD-A2F8-BA4145E468A6}"/>
    <cellStyle name="Normal 2 3" xfId="32" xr:uid="{00000000-0005-0000-0000-00006B000000}"/>
    <cellStyle name="Normal 2 3 2" xfId="88" xr:uid="{00000000-0005-0000-0000-00006C000000}"/>
    <cellStyle name="Normal 2 3 2 2" xfId="200" xr:uid="{00000000-0005-0000-0000-00006D000000}"/>
    <cellStyle name="Normal 2 3 2 2 2" xfId="424" xr:uid="{EADFAAA1-912A-4C00-947D-66241C8E2D0D}"/>
    <cellStyle name="Normal 2 3 2 3" xfId="312" xr:uid="{4F9B4A01-8DA9-47EB-91B9-BD4FD463A0F5}"/>
    <cellStyle name="Normal 2 3 3" xfId="144" xr:uid="{00000000-0005-0000-0000-00006E000000}"/>
    <cellStyle name="Normal 2 3 3 2" xfId="368" xr:uid="{9821ED1A-D2AA-4C41-B2D3-A95CD715F6BE}"/>
    <cellStyle name="Normal 2 3 4" xfId="256" xr:uid="{1A9F0604-833D-49A2-B93B-C8525A08E81A}"/>
    <cellStyle name="Normal 2 3 5" xfId="481" xr:uid="{15E42BB3-9508-437E-BA68-5C478D032806}"/>
    <cellStyle name="Normal 2 4" xfId="60" xr:uid="{00000000-0005-0000-0000-00006F000000}"/>
    <cellStyle name="Normal 2 4 2" xfId="172" xr:uid="{00000000-0005-0000-0000-000070000000}"/>
    <cellStyle name="Normal 2 4 2 2" xfId="396" xr:uid="{9FD4F720-AF51-4EA5-8552-EC68CBD52CE9}"/>
    <cellStyle name="Normal 2 4 3" xfId="284" xr:uid="{C6A24537-1A01-416C-9846-76151B07C074}"/>
    <cellStyle name="Normal 2 5" xfId="116" xr:uid="{00000000-0005-0000-0000-000071000000}"/>
    <cellStyle name="Normal 2 5 2" xfId="340" xr:uid="{D54A0C6E-0E3A-4E20-B32E-72D08CEF0EE3}"/>
    <cellStyle name="Normal 2 6" xfId="228" xr:uid="{10A39E1E-2B9C-41B9-BDC1-32DF9325CC90}"/>
    <cellStyle name="Normal 2 7" xfId="453" xr:uid="{8E91E6D6-D881-48EC-8CBB-468DC8D613AB}"/>
    <cellStyle name="Normal 3" xfId="13" xr:uid="{00000000-0005-0000-0000-000072000000}"/>
    <cellStyle name="Normal 3 2" xfId="28" xr:uid="{00000000-0005-0000-0000-000073000000}"/>
    <cellStyle name="Normal 3 2 2" xfId="56" xr:uid="{00000000-0005-0000-0000-000074000000}"/>
    <cellStyle name="Normal 3 2 2 2" xfId="112" xr:uid="{00000000-0005-0000-0000-000075000000}"/>
    <cellStyle name="Normal 3 2 2 2 2" xfId="224" xr:uid="{00000000-0005-0000-0000-000076000000}"/>
    <cellStyle name="Normal 3 2 2 2 2 2" xfId="448" xr:uid="{D27955C2-BD66-4030-9CD0-9536AA5793E9}"/>
    <cellStyle name="Normal 3 2 2 2 3" xfId="336" xr:uid="{CDDE7311-6013-4CAE-AD55-94DF7AC05D72}"/>
    <cellStyle name="Normal 3 2 2 3" xfId="168" xr:uid="{00000000-0005-0000-0000-000077000000}"/>
    <cellStyle name="Normal 3 2 2 3 2" xfId="392" xr:uid="{6BF97ADB-3C28-4523-807D-87DEA7C5C52A}"/>
    <cellStyle name="Normal 3 2 2 4" xfId="280" xr:uid="{976CB2E2-9E8A-4248-A1D0-CBE72245EF13}"/>
    <cellStyle name="Normal 3 2 2 5" xfId="505" xr:uid="{FA50D5EC-A57F-463A-B224-CB7A6EE24102}"/>
    <cellStyle name="Normal 3 2 3" xfId="84" xr:uid="{00000000-0005-0000-0000-000078000000}"/>
    <cellStyle name="Normal 3 2 3 2" xfId="196" xr:uid="{00000000-0005-0000-0000-000079000000}"/>
    <cellStyle name="Normal 3 2 3 2 2" xfId="420" xr:uid="{39F30EA7-AF10-4549-A59A-2EB7498E8C80}"/>
    <cellStyle name="Normal 3 2 3 3" xfId="308" xr:uid="{8D6B5D46-C8BE-4B9C-88FF-745862DD4D51}"/>
    <cellStyle name="Normal 3 2 4" xfId="140" xr:uid="{00000000-0005-0000-0000-00007A000000}"/>
    <cellStyle name="Normal 3 2 4 2" xfId="364" xr:uid="{507D26E4-A539-47CF-8056-7221FDDE3AA4}"/>
    <cellStyle name="Normal 3 2 5" xfId="252" xr:uid="{19A630D4-5A4A-4B11-B2DE-C6D8F87534B7}"/>
    <cellStyle name="Normal 3 2 6" xfId="477" xr:uid="{C7ED825D-32C5-47C1-9C20-8EEAC49720D1}"/>
    <cellStyle name="Normal 3 3" xfId="42" xr:uid="{00000000-0005-0000-0000-00007B000000}"/>
    <cellStyle name="Normal 3 3 2" xfId="98" xr:uid="{00000000-0005-0000-0000-00007C000000}"/>
    <cellStyle name="Normal 3 3 2 2" xfId="210" xr:uid="{00000000-0005-0000-0000-00007D000000}"/>
    <cellStyle name="Normal 3 3 2 2 2" xfId="434" xr:uid="{117FAEB7-D4E1-457A-9198-7371206099BF}"/>
    <cellStyle name="Normal 3 3 2 3" xfId="322" xr:uid="{9C18E7F3-26E9-4BB6-B26C-0FA2C38B1BC4}"/>
    <cellStyle name="Normal 3 3 3" xfId="154" xr:uid="{00000000-0005-0000-0000-00007E000000}"/>
    <cellStyle name="Normal 3 3 3 2" xfId="378" xr:uid="{AA0EF038-256D-40F5-8C31-76C155A5319A}"/>
    <cellStyle name="Normal 3 3 4" xfId="266" xr:uid="{432A3AFA-DECE-4945-B7AE-A7D803A4D91F}"/>
    <cellStyle name="Normal 3 3 5" xfId="491" xr:uid="{5DC8008F-5E83-4DAA-B49A-7CA73B753651}"/>
    <cellStyle name="Normal 3 4" xfId="70" xr:uid="{00000000-0005-0000-0000-00007F000000}"/>
    <cellStyle name="Normal 3 4 2" xfId="182" xr:uid="{00000000-0005-0000-0000-000080000000}"/>
    <cellStyle name="Normal 3 4 2 2" xfId="406" xr:uid="{2A697CFD-7296-4CE2-8EE0-1A37482E9021}"/>
    <cellStyle name="Normal 3 4 3" xfId="294" xr:uid="{C755BA5C-5A97-4473-83F4-DCC1C25C9127}"/>
    <cellStyle name="Normal 3 5" xfId="126" xr:uid="{00000000-0005-0000-0000-000081000000}"/>
    <cellStyle name="Normal 3 5 2" xfId="350" xr:uid="{7B5C6300-37FC-4AE2-96B8-45A9EF061FB0}"/>
    <cellStyle name="Normal 3 6" xfId="238" xr:uid="{8B045B07-CCB3-47C7-8114-C4C90739FE58}"/>
    <cellStyle name="Normal 3 7" xfId="463" xr:uid="{04DB2288-97F0-426A-ACB5-B11A3E989F41}"/>
    <cellStyle name="Normal 4" xfId="12" xr:uid="{00000000-0005-0000-0000-000082000000}"/>
    <cellStyle name="Normal 4 2" xfId="27" xr:uid="{00000000-0005-0000-0000-000083000000}"/>
    <cellStyle name="Normal 4 2 2" xfId="55" xr:uid="{00000000-0005-0000-0000-000084000000}"/>
    <cellStyle name="Normal 4 2 2 2" xfId="111" xr:uid="{00000000-0005-0000-0000-000085000000}"/>
    <cellStyle name="Normal 4 2 2 2 2" xfId="223" xr:uid="{00000000-0005-0000-0000-000086000000}"/>
    <cellStyle name="Normal 4 2 2 2 2 2" xfId="447" xr:uid="{D0277DA3-0C37-427F-A494-237A597D12DE}"/>
    <cellStyle name="Normal 4 2 2 2 3" xfId="335" xr:uid="{5359240D-12C2-4556-8B75-9D18EF2D780E}"/>
    <cellStyle name="Normal 4 2 2 3" xfId="167" xr:uid="{00000000-0005-0000-0000-000087000000}"/>
    <cellStyle name="Normal 4 2 2 3 2" xfId="391" xr:uid="{C47FC08A-B473-423A-84D9-02762CF77D36}"/>
    <cellStyle name="Normal 4 2 2 4" xfId="279" xr:uid="{76347D42-6602-4E8D-9DEE-29D62E1125FD}"/>
    <cellStyle name="Normal 4 2 2 5" xfId="504" xr:uid="{AD81D719-636A-4C5C-ADCB-6E6B06720FD2}"/>
    <cellStyle name="Normal 4 2 3" xfId="83" xr:uid="{00000000-0005-0000-0000-000088000000}"/>
    <cellStyle name="Normal 4 2 3 2" xfId="195" xr:uid="{00000000-0005-0000-0000-000089000000}"/>
    <cellStyle name="Normal 4 2 3 2 2" xfId="419" xr:uid="{0D46BE75-874F-48A3-8A1C-37E76469EF2D}"/>
    <cellStyle name="Normal 4 2 3 3" xfId="307" xr:uid="{96A32517-598C-40C6-87A5-1C226C5375C4}"/>
    <cellStyle name="Normal 4 2 4" xfId="139" xr:uid="{00000000-0005-0000-0000-00008A000000}"/>
    <cellStyle name="Normal 4 2 4 2" xfId="363" xr:uid="{4FA999B0-FFBB-4891-BA20-B6F085E2490C}"/>
    <cellStyle name="Normal 4 2 5" xfId="251" xr:uid="{DCA187F5-D39F-4EF5-83EE-EFB4B01597AA}"/>
    <cellStyle name="Normal 4 2 6" xfId="476" xr:uid="{3D271E69-CC07-423B-A73E-DD216DCBB5AC}"/>
    <cellStyle name="Normal 4 3" xfId="41" xr:uid="{00000000-0005-0000-0000-00008B000000}"/>
    <cellStyle name="Normal 4 3 2" xfId="97" xr:uid="{00000000-0005-0000-0000-00008C000000}"/>
    <cellStyle name="Normal 4 3 2 2" xfId="209" xr:uid="{00000000-0005-0000-0000-00008D000000}"/>
    <cellStyle name="Normal 4 3 2 2 2" xfId="433" xr:uid="{4B21444A-3AD0-47AA-B0E7-9CE9DE97F830}"/>
    <cellStyle name="Normal 4 3 2 3" xfId="321" xr:uid="{D62221F4-D65D-449E-907E-E69FFCD8C257}"/>
    <cellStyle name="Normal 4 3 3" xfId="153" xr:uid="{00000000-0005-0000-0000-00008E000000}"/>
    <cellStyle name="Normal 4 3 3 2" xfId="377" xr:uid="{8DA22E6D-7E2D-49DD-B61D-CC833DA508F9}"/>
    <cellStyle name="Normal 4 3 4" xfId="265" xr:uid="{469E74B1-B1F8-4CF4-B947-0A3FECDA36FF}"/>
    <cellStyle name="Normal 4 3 5" xfId="490" xr:uid="{A3507693-4727-4795-B964-CA68A48652C4}"/>
    <cellStyle name="Normal 4 4" xfId="69" xr:uid="{00000000-0005-0000-0000-00008F000000}"/>
    <cellStyle name="Normal 4 4 2" xfId="181" xr:uid="{00000000-0005-0000-0000-000090000000}"/>
    <cellStyle name="Normal 4 4 2 2" xfId="405" xr:uid="{7E13B47F-AAF3-4FDF-A43A-9A269DB460C4}"/>
    <cellStyle name="Normal 4 4 3" xfId="293" xr:uid="{3D98112A-F2EB-4BE1-9A82-EB286FB69F3F}"/>
    <cellStyle name="Normal 4 5" xfId="125" xr:uid="{00000000-0005-0000-0000-000091000000}"/>
    <cellStyle name="Normal 4 5 2" xfId="349" xr:uid="{935B4EF4-B985-4B0C-BAA8-36919527343C}"/>
    <cellStyle name="Normal 4 6" xfId="237" xr:uid="{815EEDD0-9059-4A96-8438-9D8249BE59AB}"/>
    <cellStyle name="Normal 4 7" xfId="462" xr:uid="{92293ECA-9018-4B06-8384-BF0632293B8F}"/>
    <cellStyle name="Normal 5" xfId="14" xr:uid="{00000000-0005-0000-0000-000092000000}"/>
    <cellStyle name="Normal 5 2" xfId="29" xr:uid="{00000000-0005-0000-0000-000093000000}"/>
    <cellStyle name="Normal 5 2 2" xfId="57" xr:uid="{00000000-0005-0000-0000-000094000000}"/>
    <cellStyle name="Normal 5 2 2 2" xfId="113" xr:uid="{00000000-0005-0000-0000-000095000000}"/>
    <cellStyle name="Normal 5 2 2 2 2" xfId="225" xr:uid="{00000000-0005-0000-0000-000096000000}"/>
    <cellStyle name="Normal 5 2 2 2 2 2" xfId="449" xr:uid="{ECEB4D03-1001-400C-B3B7-B790F272652C}"/>
    <cellStyle name="Normal 5 2 2 2 3" xfId="337" xr:uid="{56B9ECB1-4736-4CB1-88E8-76E56A05B0A9}"/>
    <cellStyle name="Normal 5 2 2 3" xfId="169" xr:uid="{00000000-0005-0000-0000-000097000000}"/>
    <cellStyle name="Normal 5 2 2 3 2" xfId="393" xr:uid="{7C8C4988-0556-441A-85B6-1338A6865EA8}"/>
    <cellStyle name="Normal 5 2 2 4" xfId="281" xr:uid="{B547C76A-19E1-4EDE-8EF8-178297CB7CBE}"/>
    <cellStyle name="Normal 5 2 2 5" xfId="506" xr:uid="{8CCFD29E-DC14-4202-912C-7E5493A35BD0}"/>
    <cellStyle name="Normal 5 2 3" xfId="85" xr:uid="{00000000-0005-0000-0000-000098000000}"/>
    <cellStyle name="Normal 5 2 3 2" xfId="197" xr:uid="{00000000-0005-0000-0000-000099000000}"/>
    <cellStyle name="Normal 5 2 3 2 2" xfId="421" xr:uid="{82B23761-EE4A-420D-820F-C7CF2E9FD83C}"/>
    <cellStyle name="Normal 5 2 3 3" xfId="309" xr:uid="{DFFC2088-FB6A-461F-BF65-4DDB4C0A0F88}"/>
    <cellStyle name="Normal 5 2 4" xfId="141" xr:uid="{00000000-0005-0000-0000-00009A000000}"/>
    <cellStyle name="Normal 5 2 4 2" xfId="365" xr:uid="{6B4E9953-3B61-42CE-85DC-90C4E93AAC04}"/>
    <cellStyle name="Normal 5 2 5" xfId="253" xr:uid="{D45FE334-2DB5-4B30-9C95-AC059691127E}"/>
    <cellStyle name="Normal 5 2 6" xfId="478" xr:uid="{139B0485-0B63-40E9-B338-2956C1768C12}"/>
    <cellStyle name="Normal 5 3" xfId="43" xr:uid="{00000000-0005-0000-0000-00009B000000}"/>
    <cellStyle name="Normal 5 3 2" xfId="99" xr:uid="{00000000-0005-0000-0000-00009C000000}"/>
    <cellStyle name="Normal 5 3 2 2" xfId="211" xr:uid="{00000000-0005-0000-0000-00009D000000}"/>
    <cellStyle name="Normal 5 3 2 2 2" xfId="435" xr:uid="{66F46265-9F45-44BA-A81D-984D17E6DF26}"/>
    <cellStyle name="Normal 5 3 2 3" xfId="323" xr:uid="{2513C3BB-2ABB-4C20-8FE8-067487260FA7}"/>
    <cellStyle name="Normal 5 3 3" xfId="155" xr:uid="{00000000-0005-0000-0000-00009E000000}"/>
    <cellStyle name="Normal 5 3 3 2" xfId="379" xr:uid="{1B6468D6-F69B-4B24-89E4-16464C51CC22}"/>
    <cellStyle name="Normal 5 3 4" xfId="267" xr:uid="{4B7F980C-685F-48F7-98D6-C1CCDC8E8642}"/>
    <cellStyle name="Normal 5 3 5" xfId="492" xr:uid="{ABC2E143-B3B4-4221-BF06-51491AA33ED2}"/>
    <cellStyle name="Normal 5 4" xfId="71" xr:uid="{00000000-0005-0000-0000-00009F000000}"/>
    <cellStyle name="Normal 5 4 2" xfId="183" xr:uid="{00000000-0005-0000-0000-0000A0000000}"/>
    <cellStyle name="Normal 5 4 2 2" xfId="407" xr:uid="{72B570BA-BD50-46E8-B1F0-051C798C2D0F}"/>
    <cellStyle name="Normal 5 4 3" xfId="295" xr:uid="{E99EA753-1E7A-4CFA-A654-DB2E4C414D17}"/>
    <cellStyle name="Normal 5 5" xfId="127" xr:uid="{00000000-0005-0000-0000-0000A1000000}"/>
    <cellStyle name="Normal 5 5 2" xfId="351" xr:uid="{C326C9E3-E81B-4AF6-942C-C5AB5E3B6706}"/>
    <cellStyle name="Normal 5 6" xfId="239" xr:uid="{F3CEE6FB-262D-4E8C-9F33-EA2AD0463264}"/>
    <cellStyle name="Normal 5 7" xfId="464" xr:uid="{DF509BCC-A5D7-4998-BEA0-937EAE721971}"/>
    <cellStyle name="Normal 6" xfId="1" xr:uid="{00000000-0005-0000-0000-0000A2000000}"/>
    <cellStyle name="Normal 6 2" xfId="16" xr:uid="{00000000-0005-0000-0000-0000A3000000}"/>
    <cellStyle name="Normal 6 2 2" xfId="44" xr:uid="{00000000-0005-0000-0000-0000A4000000}"/>
    <cellStyle name="Normal 6 2 2 2" xfId="100" xr:uid="{00000000-0005-0000-0000-0000A5000000}"/>
    <cellStyle name="Normal 6 2 2 2 2" xfId="212" xr:uid="{00000000-0005-0000-0000-0000A6000000}"/>
    <cellStyle name="Normal 6 2 2 2 2 2" xfId="436" xr:uid="{BE30261F-675C-4844-93EB-9A2391E4666C}"/>
    <cellStyle name="Normal 6 2 2 2 3" xfId="324" xr:uid="{3AE28F68-6A31-46A2-874E-3CB0C0CE9FA2}"/>
    <cellStyle name="Normal 6 2 2 3" xfId="156" xr:uid="{00000000-0005-0000-0000-0000A7000000}"/>
    <cellStyle name="Normal 6 2 2 3 2" xfId="380" xr:uid="{8B3BB160-88FC-4CE7-A1E2-21CD23803E84}"/>
    <cellStyle name="Normal 6 2 2 4" xfId="268" xr:uid="{7532C7F2-8E36-41FE-8329-2B6BF840FA0B}"/>
    <cellStyle name="Normal 6 2 2 5" xfId="493" xr:uid="{9729D4B4-6F17-4255-97BA-A4CF226D37A3}"/>
    <cellStyle name="Normal 6 2 3" xfId="72" xr:uid="{00000000-0005-0000-0000-0000A8000000}"/>
    <cellStyle name="Normal 6 2 3 2" xfId="184" xr:uid="{00000000-0005-0000-0000-0000A9000000}"/>
    <cellStyle name="Normal 6 2 3 2 2" xfId="408" xr:uid="{B0356318-5561-44EC-A54D-AB7AEF276C89}"/>
    <cellStyle name="Normal 6 2 3 3" xfId="296" xr:uid="{39C6341D-64EF-45F4-915A-E7B02F53F7F2}"/>
    <cellStyle name="Normal 6 2 4" xfId="128" xr:uid="{00000000-0005-0000-0000-0000AA000000}"/>
    <cellStyle name="Normal 6 2 4 2" xfId="352" xr:uid="{989D7145-D7F9-479B-8FEF-FD92EED2B617}"/>
    <cellStyle name="Normal 6 2 5" xfId="240" xr:uid="{279523C8-B4AC-488C-8305-BE178255578B}"/>
    <cellStyle name="Normal 6 2 6" xfId="465" xr:uid="{C3244FA3-38BF-4714-A709-33AC22B3B897}"/>
    <cellStyle name="Normal 6 3" xfId="30" xr:uid="{00000000-0005-0000-0000-0000AB000000}"/>
    <cellStyle name="Normal 6 3 2" xfId="86" xr:uid="{00000000-0005-0000-0000-0000AC000000}"/>
    <cellStyle name="Normal 6 3 2 2" xfId="198" xr:uid="{00000000-0005-0000-0000-0000AD000000}"/>
    <cellStyle name="Normal 6 3 2 2 2" xfId="422" xr:uid="{CFD538F8-2820-469B-BAAC-D61FB5FBAE0A}"/>
    <cellStyle name="Normal 6 3 2 3" xfId="310" xr:uid="{9B2A30D5-9FCB-49ED-856E-046454538605}"/>
    <cellStyle name="Normal 6 3 3" xfId="142" xr:uid="{00000000-0005-0000-0000-0000AE000000}"/>
    <cellStyle name="Normal 6 3 3 2" xfId="366" xr:uid="{5446F04C-8561-4977-8890-8012D7B2A91E}"/>
    <cellStyle name="Normal 6 3 4" xfId="254" xr:uid="{62256C2C-5BF7-4563-94C5-864B6669073E}"/>
    <cellStyle name="Normal 6 3 5" xfId="479" xr:uid="{C267F004-B5E8-4AF1-AF98-27B2420D3F8D}"/>
    <cellStyle name="Normal 6 4" xfId="58" xr:uid="{00000000-0005-0000-0000-0000AF000000}"/>
    <cellStyle name="Normal 6 4 2" xfId="170" xr:uid="{00000000-0005-0000-0000-0000B0000000}"/>
    <cellStyle name="Normal 6 4 2 2" xfId="394" xr:uid="{D06D9B73-F5DF-41F7-AC49-4F8F5EDD1532}"/>
    <cellStyle name="Normal 6 4 3" xfId="282" xr:uid="{F8E9D3FC-C361-45B7-A5D7-A45CC21A3ADE}"/>
    <cellStyle name="Normal 6 5" xfId="114" xr:uid="{00000000-0005-0000-0000-0000B1000000}"/>
    <cellStyle name="Normal 6 5 2" xfId="338" xr:uid="{494645C2-09BF-443C-B77D-DF487EAD641E}"/>
    <cellStyle name="Normal 6 6" xfId="226" xr:uid="{EBC64B46-CDC5-4904-BD0B-3655EB354BCD}"/>
    <cellStyle name="Normal 6 7" xfId="451" xr:uid="{7DEA57D5-A3EB-48BC-8006-4C97C91F45B0}"/>
    <cellStyle name="Normal 7" xfId="9" xr:uid="{00000000-0005-0000-0000-0000B2000000}"/>
    <cellStyle name="Normal 7 2" xfId="24" xr:uid="{00000000-0005-0000-0000-0000B3000000}"/>
    <cellStyle name="Normal 7 2 2" xfId="52" xr:uid="{00000000-0005-0000-0000-0000B4000000}"/>
    <cellStyle name="Normal 7 2 2 2" xfId="108" xr:uid="{00000000-0005-0000-0000-0000B5000000}"/>
    <cellStyle name="Normal 7 2 2 2 2" xfId="220" xr:uid="{00000000-0005-0000-0000-0000B6000000}"/>
    <cellStyle name="Normal 7 2 2 2 2 2" xfId="444" xr:uid="{5033BCBA-7FBD-4B85-908F-855A2750553B}"/>
    <cellStyle name="Normal 7 2 2 2 3" xfId="332" xr:uid="{D20D1CE0-7F93-4C4E-B79E-BDBE1D3E9084}"/>
    <cellStyle name="Normal 7 2 2 3" xfId="164" xr:uid="{00000000-0005-0000-0000-0000B7000000}"/>
    <cellStyle name="Normal 7 2 2 3 2" xfId="388" xr:uid="{35A1D445-EC4D-4E87-8A7D-E84AEDA537A5}"/>
    <cellStyle name="Normal 7 2 2 4" xfId="276" xr:uid="{AF16A380-8966-4A50-A623-B7DC2B56FE09}"/>
    <cellStyle name="Normal 7 2 2 5" xfId="501" xr:uid="{E334451A-71C1-4CA4-B6FF-B5FA78454AFC}"/>
    <cellStyle name="Normal 7 2 3" xfId="80" xr:uid="{00000000-0005-0000-0000-0000B8000000}"/>
    <cellStyle name="Normal 7 2 3 2" xfId="192" xr:uid="{00000000-0005-0000-0000-0000B9000000}"/>
    <cellStyle name="Normal 7 2 3 2 2" xfId="416" xr:uid="{EE6A2C9F-CD0E-4D37-9A5C-94209AA4BE08}"/>
    <cellStyle name="Normal 7 2 3 3" xfId="304" xr:uid="{E6308858-C7D8-4B3D-8D18-36D2CF79EBB9}"/>
    <cellStyle name="Normal 7 2 4" xfId="136" xr:uid="{00000000-0005-0000-0000-0000BA000000}"/>
    <cellStyle name="Normal 7 2 4 2" xfId="360" xr:uid="{E12032D9-2D3D-4022-A1EF-6E8C698BEBDF}"/>
    <cellStyle name="Normal 7 2 5" xfId="248" xr:uid="{9C3E164A-1003-4360-8E02-A4222FEADF79}"/>
    <cellStyle name="Normal 7 2 6" xfId="473" xr:uid="{A1BBBD22-0345-474F-8AEE-C4576E6DCA30}"/>
    <cellStyle name="Normal 7 3" xfId="38" xr:uid="{00000000-0005-0000-0000-0000BB000000}"/>
    <cellStyle name="Normal 7 3 2" xfId="94" xr:uid="{00000000-0005-0000-0000-0000BC000000}"/>
    <cellStyle name="Normal 7 3 2 2" xfId="206" xr:uid="{00000000-0005-0000-0000-0000BD000000}"/>
    <cellStyle name="Normal 7 3 2 2 2" xfId="430" xr:uid="{37F943FD-698F-4DFC-8064-1EEC4D055738}"/>
    <cellStyle name="Normal 7 3 2 3" xfId="318" xr:uid="{73E765AF-E73C-42C8-9893-D08102FEF6AA}"/>
    <cellStyle name="Normal 7 3 3" xfId="150" xr:uid="{00000000-0005-0000-0000-0000BE000000}"/>
    <cellStyle name="Normal 7 3 3 2" xfId="374" xr:uid="{AE254964-965F-40D3-86EF-4D5ADF265B14}"/>
    <cellStyle name="Normal 7 3 4" xfId="262" xr:uid="{11E4582A-CB8C-4C5F-8254-C8409E7465E7}"/>
    <cellStyle name="Normal 7 3 5" xfId="487" xr:uid="{38790826-29B7-4B1E-B1E4-3E705F586D72}"/>
    <cellStyle name="Normal 7 4" xfId="66" xr:uid="{00000000-0005-0000-0000-0000BF000000}"/>
    <cellStyle name="Normal 7 4 2" xfId="178" xr:uid="{00000000-0005-0000-0000-0000C0000000}"/>
    <cellStyle name="Normal 7 4 2 2" xfId="402" xr:uid="{B3DE6594-62BE-4787-A55B-EB14856A94C2}"/>
    <cellStyle name="Normal 7 4 3" xfId="290" xr:uid="{6EC27486-570F-4A85-99CB-420B380417A4}"/>
    <cellStyle name="Normal 7 5" xfId="122" xr:uid="{00000000-0005-0000-0000-0000C1000000}"/>
    <cellStyle name="Normal 7 5 2" xfId="346" xr:uid="{FFCDA06E-FED2-4648-9F86-2A12AA355307}"/>
    <cellStyle name="Normal 7 6" xfId="234" xr:uid="{B686A933-238B-4487-A230-CD4A07B67E33}"/>
    <cellStyle name="Normal 7 7" xfId="459" xr:uid="{66D0E903-206C-4445-80A5-DB344454D583}"/>
    <cellStyle name="Normal 8" xfId="8" xr:uid="{00000000-0005-0000-0000-0000C2000000}"/>
    <cellStyle name="Normal 8 2" xfId="23" xr:uid="{00000000-0005-0000-0000-0000C3000000}"/>
    <cellStyle name="Normal 8 2 2" xfId="51" xr:uid="{00000000-0005-0000-0000-0000C4000000}"/>
    <cellStyle name="Normal 8 2 2 2" xfId="107" xr:uid="{00000000-0005-0000-0000-0000C5000000}"/>
    <cellStyle name="Normal 8 2 2 2 2" xfId="219" xr:uid="{00000000-0005-0000-0000-0000C6000000}"/>
    <cellStyle name="Normal 8 2 2 2 2 2" xfId="443" xr:uid="{19283C1B-3C4F-4F9F-AE94-B0E26F7A81F8}"/>
    <cellStyle name="Normal 8 2 2 2 3" xfId="331" xr:uid="{554AA92D-7ECD-4572-83BC-F98A405F6BE8}"/>
    <cellStyle name="Normal 8 2 2 3" xfId="163" xr:uid="{00000000-0005-0000-0000-0000C7000000}"/>
    <cellStyle name="Normal 8 2 2 3 2" xfId="387" xr:uid="{3B6B08D4-E18A-4655-A998-56B46B793641}"/>
    <cellStyle name="Normal 8 2 2 4" xfId="275" xr:uid="{C61B844A-6EFD-4F61-8D48-ECE1AAE85A33}"/>
    <cellStyle name="Normal 8 2 2 5" xfId="500" xr:uid="{AE424504-98B1-40DF-A99A-8DAD0DC17ED2}"/>
    <cellStyle name="Normal 8 2 3" xfId="79" xr:uid="{00000000-0005-0000-0000-0000C8000000}"/>
    <cellStyle name="Normal 8 2 3 2" xfId="191" xr:uid="{00000000-0005-0000-0000-0000C9000000}"/>
    <cellStyle name="Normal 8 2 3 2 2" xfId="415" xr:uid="{90348930-D2E5-47C3-9020-C2A26473E5C2}"/>
    <cellStyle name="Normal 8 2 3 3" xfId="303" xr:uid="{395A0EF3-6AF9-4350-92CE-296BAB7D0CD5}"/>
    <cellStyle name="Normal 8 2 4" xfId="135" xr:uid="{00000000-0005-0000-0000-0000CA000000}"/>
    <cellStyle name="Normal 8 2 4 2" xfId="359" xr:uid="{B01A070D-58D1-4288-ACDC-A748D774C71E}"/>
    <cellStyle name="Normal 8 2 5" xfId="247" xr:uid="{1DCC4C7A-F4BE-4B0F-962A-064CD88D58CC}"/>
    <cellStyle name="Normal 8 2 6" xfId="472" xr:uid="{1BB46A7C-72A5-42DB-B2FE-EE81B15512D3}"/>
    <cellStyle name="Normal 8 3" xfId="37" xr:uid="{00000000-0005-0000-0000-0000CB000000}"/>
    <cellStyle name="Normal 8 3 2" xfId="93" xr:uid="{00000000-0005-0000-0000-0000CC000000}"/>
    <cellStyle name="Normal 8 3 2 2" xfId="205" xr:uid="{00000000-0005-0000-0000-0000CD000000}"/>
    <cellStyle name="Normal 8 3 2 2 2" xfId="429" xr:uid="{AA24C07B-0856-47FB-B1C1-EC6D41F0FAE7}"/>
    <cellStyle name="Normal 8 3 2 3" xfId="317" xr:uid="{11979B62-F3DE-4FC7-A72F-23B2100C6EF8}"/>
    <cellStyle name="Normal 8 3 3" xfId="149" xr:uid="{00000000-0005-0000-0000-0000CE000000}"/>
    <cellStyle name="Normal 8 3 3 2" xfId="373" xr:uid="{54E27C7A-973F-4954-BE12-19525187E832}"/>
    <cellStyle name="Normal 8 3 4" xfId="261" xr:uid="{81D4DA19-D2F0-44B7-BD19-7D3C95C8610E}"/>
    <cellStyle name="Normal 8 3 5" xfId="486" xr:uid="{333E42A5-720D-42B3-979B-2158D631C2AB}"/>
    <cellStyle name="Normal 8 4" xfId="65" xr:uid="{00000000-0005-0000-0000-0000CF000000}"/>
    <cellStyle name="Normal 8 4 2" xfId="177" xr:uid="{00000000-0005-0000-0000-0000D0000000}"/>
    <cellStyle name="Normal 8 4 2 2" xfId="401" xr:uid="{5EFA7E3B-4F17-4C7F-B7DF-6C7423064E34}"/>
    <cellStyle name="Normal 8 4 3" xfId="289" xr:uid="{0EA19F21-E416-4B83-A045-FAF44A1F5440}"/>
    <cellStyle name="Normal 8 5" xfId="121" xr:uid="{00000000-0005-0000-0000-0000D1000000}"/>
    <cellStyle name="Normal 8 5 2" xfId="345" xr:uid="{5C7F2E4C-C23C-44A9-B271-48F88F294906}"/>
    <cellStyle name="Normal 8 6" xfId="233" xr:uid="{DF6D2F02-5AB5-422D-B531-107608886038}"/>
    <cellStyle name="Normal 8 7" xfId="458" xr:uid="{1A0BF2A6-46BD-4AD1-9602-9E7189D3FD48}"/>
    <cellStyle name="Normal 9" xfId="7" xr:uid="{00000000-0005-0000-0000-0000D2000000}"/>
    <cellStyle name="Normal 9 2" xfId="22" xr:uid="{00000000-0005-0000-0000-0000D3000000}"/>
    <cellStyle name="Normal 9 2 2" xfId="50" xr:uid="{00000000-0005-0000-0000-0000D4000000}"/>
    <cellStyle name="Normal 9 2 2 2" xfId="106" xr:uid="{00000000-0005-0000-0000-0000D5000000}"/>
    <cellStyle name="Normal 9 2 2 2 2" xfId="218" xr:uid="{00000000-0005-0000-0000-0000D6000000}"/>
    <cellStyle name="Normal 9 2 2 2 2 2" xfId="442" xr:uid="{C62794B9-15A5-4D4E-9A40-DCCE025164B4}"/>
    <cellStyle name="Normal 9 2 2 2 3" xfId="330" xr:uid="{F2BAA3DA-FEDE-49E5-9991-F4032E217705}"/>
    <cellStyle name="Normal 9 2 2 3" xfId="162" xr:uid="{00000000-0005-0000-0000-0000D7000000}"/>
    <cellStyle name="Normal 9 2 2 3 2" xfId="386" xr:uid="{3E18B3A9-D06C-48B1-9748-533BD14AD003}"/>
    <cellStyle name="Normal 9 2 2 4" xfId="274" xr:uid="{BDCE54AE-A615-4634-ADF7-D5FBD00FF6DF}"/>
    <cellStyle name="Normal 9 2 2 5" xfId="499" xr:uid="{95E200D4-6AA4-4D87-9C2C-7DE64A067F8D}"/>
    <cellStyle name="Normal 9 2 3" xfId="78" xr:uid="{00000000-0005-0000-0000-0000D8000000}"/>
    <cellStyle name="Normal 9 2 3 2" xfId="190" xr:uid="{00000000-0005-0000-0000-0000D9000000}"/>
    <cellStyle name="Normal 9 2 3 2 2" xfId="414" xr:uid="{0053373A-2F8C-4F1C-8E3B-4132FEF5A2A3}"/>
    <cellStyle name="Normal 9 2 3 3" xfId="302" xr:uid="{08151007-77B1-4926-ACFE-1972257A04F0}"/>
    <cellStyle name="Normal 9 2 4" xfId="134" xr:uid="{00000000-0005-0000-0000-0000DA000000}"/>
    <cellStyle name="Normal 9 2 4 2" xfId="358" xr:uid="{419690BA-7F3A-4CAE-8E7F-99FF3745DDAD}"/>
    <cellStyle name="Normal 9 2 5" xfId="246" xr:uid="{29155D8D-D566-414D-AE71-97440D09014F}"/>
    <cellStyle name="Normal 9 2 6" xfId="471" xr:uid="{F3907B83-2C4B-4B6E-A7DA-95FBD024E49D}"/>
    <cellStyle name="Normal 9 3" xfId="36" xr:uid="{00000000-0005-0000-0000-0000DB000000}"/>
    <cellStyle name="Normal 9 3 2" xfId="92" xr:uid="{00000000-0005-0000-0000-0000DC000000}"/>
    <cellStyle name="Normal 9 3 2 2" xfId="204" xr:uid="{00000000-0005-0000-0000-0000DD000000}"/>
    <cellStyle name="Normal 9 3 2 2 2" xfId="428" xr:uid="{6A13FB2D-8EAC-43F5-BC22-2BF4AC5B8134}"/>
    <cellStyle name="Normal 9 3 2 3" xfId="316" xr:uid="{636E9F4E-CB3D-4042-B6ED-6E6F32F59DF8}"/>
    <cellStyle name="Normal 9 3 3" xfId="148" xr:uid="{00000000-0005-0000-0000-0000DE000000}"/>
    <cellStyle name="Normal 9 3 3 2" xfId="372" xr:uid="{07726091-9052-4D4C-87E3-7DEDDEA85F72}"/>
    <cellStyle name="Normal 9 3 4" xfId="260" xr:uid="{0A01561D-98A1-450E-9EAC-9D64544848C0}"/>
    <cellStyle name="Normal 9 3 5" xfId="485" xr:uid="{B045DE7C-882E-4EAB-AD4B-C63226D79904}"/>
    <cellStyle name="Normal 9 4" xfId="64" xr:uid="{00000000-0005-0000-0000-0000DF000000}"/>
    <cellStyle name="Normal 9 4 2" xfId="176" xr:uid="{00000000-0005-0000-0000-0000E0000000}"/>
    <cellStyle name="Normal 9 4 2 2" xfId="400" xr:uid="{A5DFB64F-60DB-4E9B-A4DE-FC7EFBE022DB}"/>
    <cellStyle name="Normal 9 4 3" xfId="288" xr:uid="{1DEB3557-15F5-46ED-A563-997843C7F753}"/>
    <cellStyle name="Normal 9 5" xfId="120" xr:uid="{00000000-0005-0000-0000-0000E1000000}"/>
    <cellStyle name="Normal 9 5 2" xfId="344" xr:uid="{92540277-3EA3-400F-8805-0A403819CB60}"/>
    <cellStyle name="Normal 9 6" xfId="232" xr:uid="{CAA897C4-6A71-4772-BA58-FAD06FBBA3E0}"/>
    <cellStyle name="Normal 9 7" xfId="457" xr:uid="{460FEAEB-4C73-4827-A015-6C73AC01B0B5}"/>
    <cellStyle name="Pourcentage 2" xfId="450" xr:uid="{239F4068-0DB3-46A4-AF05-A99E1B4DE58D}"/>
  </cellStyles>
  <dxfs count="11"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9CCFF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99CCFF"/>
      <color rgb="FFF7C3A3"/>
      <color rgb="FF75A1F1"/>
      <color rgb="FF8BCBE5"/>
      <color rgb="FF66CCFF"/>
      <color rgb="FF8D9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0982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72E9F27-D75A-4DE6-A21C-312CB6015A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409825" cy="9334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09825" cy="933450"/>
    <xdr:pic>
      <xdr:nvPicPr>
        <xdr:cNvPr id="3" name="image1.png">
          <a:extLst>
            <a:ext uri="{FF2B5EF4-FFF2-40B4-BE49-F238E27FC236}">
              <a16:creationId xmlns:a16="http://schemas.microsoft.com/office/drawing/2014/main" id="{CA56C30A-D06E-4880-B3EB-F262370F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409825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BCD1-C03A-4B5A-B0DD-D1F0F93F9C95}">
  <sheetPr>
    <pageSetUpPr fitToPage="1"/>
  </sheetPr>
  <dimension ref="A1:AP6"/>
  <sheetViews>
    <sheetView tabSelected="1"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E5" sqref="E5:E6"/>
    </sheetView>
  </sheetViews>
  <sheetFormatPr baseColWidth="10" defaultColWidth="14.44140625" defaultRowHeight="15" customHeight="1" x14ac:dyDescent="0.3"/>
  <cols>
    <col min="1" max="1" width="4.5546875" style="8" bestFit="1" customWidth="1"/>
    <col min="2" max="2" width="3.5546875" style="8" bestFit="1" customWidth="1"/>
    <col min="3" max="3" width="6.33203125" style="8" bestFit="1" customWidth="1"/>
    <col min="4" max="4" width="9.77734375" style="8" bestFit="1" customWidth="1"/>
    <col min="5" max="5" width="12.6640625" style="10" bestFit="1" customWidth="1"/>
    <col min="6" max="32" width="4.77734375" style="13" customWidth="1"/>
    <col min="33" max="35" width="4.77734375" style="2" customWidth="1"/>
    <col min="36" max="36" width="3.77734375" style="2" customWidth="1"/>
    <col min="37" max="37" width="6.5546875" style="10" customWidth="1"/>
    <col min="38" max="38" width="6.88671875" style="10" customWidth="1"/>
    <col min="39" max="39" width="9.33203125" style="10" customWidth="1"/>
    <col min="40" max="40" width="9.109375" style="10" bestFit="1" customWidth="1"/>
    <col min="41" max="41" width="13.33203125" style="8" customWidth="1"/>
    <col min="42" max="42" width="37.44140625" style="25" bestFit="1" customWidth="1"/>
  </cols>
  <sheetData>
    <row r="1" spans="1:42" s="4" customFormat="1" ht="16.2" thickBot="1" x14ac:dyDescent="0.35">
      <c r="A1" s="5" t="s">
        <v>0</v>
      </c>
      <c r="B1" s="5"/>
      <c r="C1" s="7"/>
      <c r="D1" s="7"/>
      <c r="E1" s="5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3"/>
      <c r="AH1" s="3"/>
      <c r="AI1" s="3"/>
      <c r="AJ1" s="3"/>
      <c r="AK1" s="5"/>
      <c r="AL1" s="6"/>
      <c r="AM1" s="36"/>
      <c r="AN1" s="5"/>
      <c r="AO1" s="5"/>
      <c r="AP1" s="24"/>
    </row>
    <row r="2" spans="1:42" ht="23.25" customHeight="1" x14ac:dyDescent="0.3">
      <c r="A2" s="10"/>
      <c r="B2" s="10"/>
      <c r="F2" s="38" t="s">
        <v>30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40"/>
    </row>
    <row r="3" spans="1:42" ht="24" customHeight="1" thickBot="1" x14ac:dyDescent="0.35">
      <c r="A3" s="10"/>
      <c r="B3" s="10"/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3"/>
      <c r="AM3" s="37"/>
    </row>
    <row r="4" spans="1:42" ht="16.2" thickBot="1" x14ac:dyDescent="0.35">
      <c r="A4" s="10"/>
      <c r="B4" s="10"/>
      <c r="F4" s="14"/>
      <c r="G4" s="14"/>
      <c r="H4" s="15"/>
      <c r="I4" s="14"/>
      <c r="J4" s="14"/>
      <c r="K4" s="14"/>
      <c r="L4" s="14"/>
      <c r="M4" s="14"/>
      <c r="N4" s="14"/>
      <c r="O4" s="15"/>
      <c r="P4" s="14"/>
      <c r="Q4" s="14"/>
      <c r="R4" s="14"/>
      <c r="S4" s="14"/>
      <c r="T4" s="14"/>
      <c r="U4" s="14"/>
      <c r="V4" s="15"/>
      <c r="W4" s="14"/>
      <c r="X4" s="14"/>
      <c r="Y4" s="14"/>
      <c r="Z4" s="14"/>
      <c r="AA4" s="14"/>
      <c r="AB4" s="14"/>
      <c r="AC4" s="15"/>
      <c r="AD4" s="14"/>
      <c r="AE4" s="14"/>
      <c r="AF4" s="14"/>
      <c r="AG4" s="1"/>
      <c r="AH4" s="1"/>
      <c r="AI4" s="1"/>
      <c r="AJ4" s="1"/>
      <c r="AK4" s="9"/>
      <c r="AL4" s="9"/>
      <c r="AO4" s="10"/>
    </row>
    <row r="5" spans="1:42" ht="19.5" customHeight="1" thickBot="1" x14ac:dyDescent="0.35">
      <c r="A5" s="44" t="s">
        <v>1</v>
      </c>
      <c r="B5" s="44" t="s">
        <v>2</v>
      </c>
      <c r="C5" s="46" t="s">
        <v>3</v>
      </c>
      <c r="D5" s="46"/>
      <c r="E5" s="55" t="s">
        <v>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42" ht="15.6" customHeight="1" thickBot="1" x14ac:dyDescent="0.35">
      <c r="A6" s="45"/>
      <c r="B6" s="45"/>
      <c r="C6" s="59" t="s">
        <v>14</v>
      </c>
      <c r="D6" s="59" t="s">
        <v>15</v>
      </c>
      <c r="E6" s="60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</sheetData>
  <mergeCells count="5">
    <mergeCell ref="F2:AK3"/>
    <mergeCell ref="A5:A6"/>
    <mergeCell ref="B5:B6"/>
    <mergeCell ref="C5:D5"/>
    <mergeCell ref="E5:E6"/>
  </mergeCells>
  <conditionalFormatting sqref="F1:AJ4 F7:AJ1048576">
    <cfRule type="cellIs" dxfId="10" priority="263" operator="equal">
      <formula>"OFF"</formula>
    </cfRule>
    <cfRule type="containsText" dxfId="9" priority="896" operator="containsText" text="OFF">
      <formula>NOT(ISERROR(SEARCH("OFF",F1)))</formula>
    </cfRule>
  </conditionalFormatting>
  <conditionalFormatting sqref="AP1:AP4 AP7:AP1048576">
    <cfRule type="cellIs" dxfId="8" priority="33" operator="equal">
      <formula>2000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568B-6292-4D5E-A6AD-BB9B9B06C805}">
  <sheetPr>
    <pageSetUpPr fitToPage="1"/>
  </sheetPr>
  <dimension ref="A1:AP14"/>
  <sheetViews>
    <sheetView zoomScale="85" zoomScaleNormal="85" workbookViewId="0">
      <pane xSplit="5" ySplit="1" topLeftCell="G2" activePane="bottomRight" state="frozen"/>
      <selection pane="topRight" activeCell="F1" sqref="F1"/>
      <selection pane="bottomLeft" activeCell="A7" sqref="A7"/>
      <selection pane="bottomRight" activeCell="D24" sqref="D24"/>
    </sheetView>
  </sheetViews>
  <sheetFormatPr baseColWidth="10" defaultColWidth="14.44140625" defaultRowHeight="15" customHeight="1" x14ac:dyDescent="0.3"/>
  <cols>
    <col min="1" max="1" width="4.5546875" style="8" customWidth="1"/>
    <col min="2" max="2" width="6" style="8" customWidth="1"/>
    <col min="3" max="3" width="16" style="8" customWidth="1"/>
    <col min="4" max="4" width="17.44140625" style="8" customWidth="1"/>
    <col min="5" max="5" width="15.5546875" style="10" customWidth="1"/>
    <col min="6" max="11" width="4.44140625" style="13" customWidth="1"/>
    <col min="12" max="12" width="4.5546875" style="13" customWidth="1"/>
    <col min="13" max="13" width="4.44140625" style="13" customWidth="1"/>
    <col min="14" max="14" width="4.6640625" style="13" customWidth="1"/>
    <col min="15" max="20" width="4.44140625" style="13" customWidth="1"/>
    <col min="21" max="21" width="5" style="13" customWidth="1"/>
    <col min="22" max="22" width="4.6640625" style="13" customWidth="1"/>
    <col min="23" max="32" width="4.44140625" style="13" customWidth="1"/>
    <col min="33" max="36" width="4.44140625" style="2" customWidth="1"/>
    <col min="37" max="37" width="5.88671875" style="10" customWidth="1"/>
    <col min="38" max="38" width="6.88671875" style="10" customWidth="1"/>
    <col min="39" max="39" width="9.33203125" style="10" bestFit="1" customWidth="1"/>
    <col min="40" max="40" width="9.109375" style="10" customWidth="1"/>
    <col min="41" max="41" width="13" style="8" customWidth="1"/>
    <col min="42" max="42" width="16.33203125" style="25" customWidth="1"/>
  </cols>
  <sheetData>
    <row r="1" spans="1:42" s="4" customFormat="1" ht="16.2" thickBot="1" x14ac:dyDescent="0.35">
      <c r="A1" s="5" t="s">
        <v>0</v>
      </c>
      <c r="B1" s="5"/>
      <c r="C1" s="7"/>
      <c r="D1" s="7"/>
      <c r="E1" s="5"/>
      <c r="F1" s="12" t="str">
        <f t="shared" ref="F1:AG1" si="0">IF(F$6="Ret",0.5,IF(F$6="S",3.5,(IF(F$6="D","",7.5))))</f>
        <v/>
      </c>
      <c r="G1" s="12">
        <f t="shared" si="0"/>
        <v>7.5</v>
      </c>
      <c r="H1" s="12">
        <f t="shared" si="0"/>
        <v>7.5</v>
      </c>
      <c r="I1" s="12">
        <f t="shared" si="0"/>
        <v>7.5</v>
      </c>
      <c r="J1" s="12">
        <f t="shared" si="0"/>
        <v>7.5</v>
      </c>
      <c r="K1" s="12">
        <f t="shared" si="0"/>
        <v>7.5</v>
      </c>
      <c r="L1" s="12">
        <f t="shared" si="0"/>
        <v>3.5</v>
      </c>
      <c r="M1" s="12" t="str">
        <f t="shared" si="0"/>
        <v/>
      </c>
      <c r="N1" s="12">
        <f t="shared" si="0"/>
        <v>7.5</v>
      </c>
      <c r="O1" s="12">
        <f t="shared" si="0"/>
        <v>7.5</v>
      </c>
      <c r="P1" s="12">
        <f t="shared" si="0"/>
        <v>7.5</v>
      </c>
      <c r="Q1" s="12">
        <f t="shared" si="0"/>
        <v>7.5</v>
      </c>
      <c r="R1" s="12">
        <f t="shared" si="0"/>
        <v>7.5</v>
      </c>
      <c r="S1" s="12">
        <f t="shared" si="0"/>
        <v>3.5</v>
      </c>
      <c r="T1" s="12" t="str">
        <f t="shared" si="0"/>
        <v/>
      </c>
      <c r="U1" s="12">
        <f t="shared" si="0"/>
        <v>7.5</v>
      </c>
      <c r="V1" s="12">
        <f t="shared" si="0"/>
        <v>7.5</v>
      </c>
      <c r="W1" s="12">
        <f t="shared" si="0"/>
        <v>7.5</v>
      </c>
      <c r="X1" s="12">
        <f t="shared" si="0"/>
        <v>7.5</v>
      </c>
      <c r="Y1" s="12">
        <f t="shared" si="0"/>
        <v>7.5</v>
      </c>
      <c r="Z1" s="12">
        <f t="shared" si="0"/>
        <v>3.5</v>
      </c>
      <c r="AA1" s="12" t="str">
        <f t="shared" si="0"/>
        <v/>
      </c>
      <c r="AB1" s="12">
        <f t="shared" si="0"/>
        <v>7.5</v>
      </c>
      <c r="AC1" s="12">
        <f t="shared" si="0"/>
        <v>7.5</v>
      </c>
      <c r="AD1" s="12">
        <f t="shared" si="0"/>
        <v>7.5</v>
      </c>
      <c r="AE1" s="12">
        <f t="shared" si="0"/>
        <v>7.5</v>
      </c>
      <c r="AF1" s="12">
        <f t="shared" si="0"/>
        <v>7.5</v>
      </c>
      <c r="AG1" s="3">
        <f t="shared" si="0"/>
        <v>3.5</v>
      </c>
      <c r="AH1" s="3"/>
      <c r="AI1" s="3"/>
      <c r="AJ1" s="3"/>
      <c r="AK1" s="5"/>
      <c r="AL1" s="6"/>
      <c r="AM1" s="5"/>
      <c r="AN1" s="5"/>
      <c r="AO1" s="5"/>
      <c r="AP1" s="24"/>
    </row>
    <row r="2" spans="1:42" ht="23.25" customHeight="1" x14ac:dyDescent="0.3">
      <c r="A2" s="10"/>
      <c r="B2" s="10"/>
      <c r="F2" s="38" t="s">
        <v>29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40"/>
    </row>
    <row r="3" spans="1:42" ht="24" customHeight="1" thickBot="1" x14ac:dyDescent="0.35">
      <c r="A3" s="10"/>
      <c r="B3" s="10"/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3"/>
    </row>
    <row r="4" spans="1:42" ht="16.2" thickBot="1" x14ac:dyDescent="0.35">
      <c r="A4" s="10"/>
      <c r="B4" s="10"/>
      <c r="F4" s="14"/>
      <c r="G4" s="14"/>
      <c r="H4" s="15"/>
      <c r="I4" s="14"/>
      <c r="J4" s="14"/>
      <c r="K4" s="14"/>
      <c r="L4" s="14"/>
      <c r="M4" s="14"/>
      <c r="N4" s="14"/>
      <c r="O4" s="15"/>
      <c r="P4" s="14"/>
      <c r="Q4" s="14"/>
      <c r="R4" s="14"/>
      <c r="S4" s="14"/>
      <c r="T4" s="14"/>
      <c r="U4" s="14"/>
      <c r="V4" s="15"/>
      <c r="W4" s="14"/>
      <c r="X4" s="14"/>
      <c r="Y4" s="14"/>
      <c r="Z4" s="14"/>
      <c r="AA4" s="14"/>
      <c r="AB4" s="14"/>
      <c r="AC4" s="15"/>
      <c r="AD4" s="14"/>
      <c r="AE4" s="14"/>
      <c r="AF4" s="14"/>
      <c r="AG4" s="1"/>
      <c r="AH4" s="1"/>
      <c r="AI4" s="1"/>
      <c r="AJ4" s="1"/>
      <c r="AK4" s="9"/>
      <c r="AL4" s="9"/>
      <c r="AO4" s="10"/>
    </row>
    <row r="5" spans="1:42" ht="19.5" customHeight="1" x14ac:dyDescent="0.3">
      <c r="A5" s="44" t="s">
        <v>1</v>
      </c>
      <c r="B5" s="44" t="s">
        <v>2</v>
      </c>
      <c r="C5" s="55" t="s">
        <v>3</v>
      </c>
      <c r="D5" s="55"/>
      <c r="E5" s="47" t="s">
        <v>4</v>
      </c>
      <c r="F5" s="29">
        <v>1</v>
      </c>
      <c r="G5" s="28">
        <f t="shared" ref="G5:AE5" si="1">F5+1</f>
        <v>2</v>
      </c>
      <c r="H5" s="28">
        <f t="shared" si="1"/>
        <v>3</v>
      </c>
      <c r="I5" s="28">
        <f t="shared" si="1"/>
        <v>4</v>
      </c>
      <c r="J5" s="28">
        <f t="shared" si="1"/>
        <v>5</v>
      </c>
      <c r="K5" s="28">
        <f t="shared" si="1"/>
        <v>6</v>
      </c>
      <c r="L5" s="28">
        <f t="shared" si="1"/>
        <v>7</v>
      </c>
      <c r="M5" s="29">
        <f t="shared" si="1"/>
        <v>8</v>
      </c>
      <c r="N5" s="28">
        <f t="shared" si="1"/>
        <v>9</v>
      </c>
      <c r="O5" s="28">
        <f t="shared" si="1"/>
        <v>10</v>
      </c>
      <c r="P5" s="28">
        <f t="shared" si="1"/>
        <v>11</v>
      </c>
      <c r="Q5" s="28">
        <f t="shared" si="1"/>
        <v>12</v>
      </c>
      <c r="R5" s="28">
        <f t="shared" si="1"/>
        <v>13</v>
      </c>
      <c r="S5" s="28">
        <f t="shared" si="1"/>
        <v>14</v>
      </c>
      <c r="T5" s="29">
        <f>S5+1</f>
        <v>15</v>
      </c>
      <c r="U5" s="28">
        <f t="shared" ref="U5:V5" si="2">T5+1</f>
        <v>16</v>
      </c>
      <c r="V5" s="28">
        <f t="shared" si="2"/>
        <v>17</v>
      </c>
      <c r="W5" s="28">
        <f t="shared" si="1"/>
        <v>18</v>
      </c>
      <c r="X5" s="28">
        <f t="shared" si="1"/>
        <v>19</v>
      </c>
      <c r="Y5" s="28">
        <f t="shared" si="1"/>
        <v>20</v>
      </c>
      <c r="Z5" s="28">
        <f t="shared" si="1"/>
        <v>21</v>
      </c>
      <c r="AA5" s="29">
        <f t="shared" si="1"/>
        <v>22</v>
      </c>
      <c r="AB5" s="28">
        <f t="shared" si="1"/>
        <v>23</v>
      </c>
      <c r="AC5" s="28">
        <f t="shared" si="1"/>
        <v>24</v>
      </c>
      <c r="AD5" s="28">
        <f t="shared" si="1"/>
        <v>25</v>
      </c>
      <c r="AE5" s="28">
        <f t="shared" si="1"/>
        <v>26</v>
      </c>
      <c r="AF5" s="28">
        <f>AE5+1</f>
        <v>27</v>
      </c>
      <c r="AG5" s="28">
        <f>AF5+1</f>
        <v>28</v>
      </c>
      <c r="AH5" s="29">
        <f t="shared" ref="AH5:AI5" si="3">AG5+1</f>
        <v>29</v>
      </c>
      <c r="AI5" s="28">
        <f t="shared" si="3"/>
        <v>30</v>
      </c>
      <c r="AJ5" s="28">
        <v>31</v>
      </c>
      <c r="AK5" s="57" t="s">
        <v>11</v>
      </c>
      <c r="AL5" s="48" t="s">
        <v>12</v>
      </c>
      <c r="AM5" s="50" t="s">
        <v>19</v>
      </c>
      <c r="AN5" s="48" t="s">
        <v>17</v>
      </c>
      <c r="AO5" s="48" t="s">
        <v>13</v>
      </c>
      <c r="AP5" s="52" t="s">
        <v>18</v>
      </c>
    </row>
    <row r="6" spans="1:42" ht="15.6" customHeight="1" thickBot="1" x14ac:dyDescent="0.35">
      <c r="A6" s="54"/>
      <c r="B6" s="54"/>
      <c r="C6" s="19" t="s">
        <v>14</v>
      </c>
      <c r="D6" s="19" t="s">
        <v>15</v>
      </c>
      <c r="E6" s="56"/>
      <c r="F6" s="31" t="s">
        <v>10</v>
      </c>
      <c r="G6" s="30" t="s">
        <v>5</v>
      </c>
      <c r="H6" s="30" t="s">
        <v>6</v>
      </c>
      <c r="I6" s="30" t="s">
        <v>6</v>
      </c>
      <c r="J6" s="31" t="s">
        <v>7</v>
      </c>
      <c r="K6" s="30" t="s">
        <v>8</v>
      </c>
      <c r="L6" s="30" t="s">
        <v>9</v>
      </c>
      <c r="M6" s="31" t="s">
        <v>10</v>
      </c>
      <c r="N6" s="30" t="s">
        <v>5</v>
      </c>
      <c r="O6" s="30" t="s">
        <v>6</v>
      </c>
      <c r="P6" s="30" t="s">
        <v>6</v>
      </c>
      <c r="Q6" s="31" t="s">
        <v>7</v>
      </c>
      <c r="R6" s="30" t="s">
        <v>8</v>
      </c>
      <c r="S6" s="30" t="s">
        <v>9</v>
      </c>
      <c r="T6" s="31" t="s">
        <v>10</v>
      </c>
      <c r="U6" s="30" t="s">
        <v>5</v>
      </c>
      <c r="V6" s="30" t="s">
        <v>6</v>
      </c>
      <c r="W6" s="30" t="s">
        <v>6</v>
      </c>
      <c r="X6" s="31" t="s">
        <v>7</v>
      </c>
      <c r="Y6" s="30" t="s">
        <v>8</v>
      </c>
      <c r="Z6" s="30" t="s">
        <v>9</v>
      </c>
      <c r="AA6" s="31" t="s">
        <v>10</v>
      </c>
      <c r="AB6" s="30" t="s">
        <v>5</v>
      </c>
      <c r="AC6" s="31" t="s">
        <v>6</v>
      </c>
      <c r="AD6" s="30" t="s">
        <v>6</v>
      </c>
      <c r="AE6" s="31" t="s">
        <v>7</v>
      </c>
      <c r="AF6" s="31" t="s">
        <v>8</v>
      </c>
      <c r="AG6" s="30" t="s">
        <v>9</v>
      </c>
      <c r="AH6" s="31" t="s">
        <v>10</v>
      </c>
      <c r="AI6" s="30" t="s">
        <v>5</v>
      </c>
      <c r="AJ6" s="31" t="s">
        <v>6</v>
      </c>
      <c r="AK6" s="58"/>
      <c r="AL6" s="49"/>
      <c r="AM6" s="51"/>
      <c r="AN6" s="49"/>
      <c r="AO6" s="49"/>
      <c r="AP6" s="53"/>
    </row>
    <row r="7" spans="1:42" ht="15" customHeight="1" x14ac:dyDescent="0.3">
      <c r="A7" s="20" t="s">
        <v>16</v>
      </c>
      <c r="B7" s="20">
        <v>136</v>
      </c>
      <c r="C7" s="21" t="s">
        <v>21</v>
      </c>
      <c r="D7" s="21" t="s">
        <v>20</v>
      </c>
      <c r="E7" s="20">
        <v>1313</v>
      </c>
      <c r="F7" s="17"/>
      <c r="G7" s="32"/>
      <c r="H7" s="32"/>
      <c r="I7" s="32"/>
      <c r="J7" s="32"/>
      <c r="K7" s="32"/>
      <c r="L7" s="23"/>
      <c r="M7" s="17"/>
      <c r="N7" s="32"/>
      <c r="O7" s="32"/>
      <c r="P7" s="32"/>
      <c r="Q7" s="32"/>
      <c r="R7" s="32"/>
      <c r="S7" s="23"/>
      <c r="T7" s="17"/>
      <c r="U7" s="32"/>
      <c r="V7" s="32"/>
      <c r="W7" s="32"/>
      <c r="X7" s="32"/>
      <c r="Y7" s="32"/>
      <c r="Z7" s="23"/>
      <c r="AA7" s="17"/>
      <c r="AB7" s="32">
        <v>8</v>
      </c>
      <c r="AC7" s="32"/>
      <c r="AD7" s="35"/>
      <c r="AE7" s="32"/>
      <c r="AF7" s="32"/>
      <c r="AG7" s="23"/>
      <c r="AH7" s="17"/>
      <c r="AI7" s="32"/>
      <c r="AJ7" s="32"/>
      <c r="AK7" s="16" t="e">
        <f>N(F7)/(IF(#REF!="S",4,8))+N(G7)/(IF(#REF!="S",4,8))+N(H7)/(IF(#REF!="S",4,8))+N(I7)/(IF(#REF!="S",4,8))+N(J7)/(IF(#REF!="S",4,8))+N(K7)/(IF(#REF!="S",4,8))+N(L7)/(IF(#REF!="S",4,8))+N(M7)/(IF(#REF!="S",4,8))+N(N7)/(IF(#REF!="S",4,8))+N(O7)/(IF(#REF!="S",4,8))+N(P7)/(IF(#REF!="S",4,8))+N(Q7)/(IF(#REF!="S",4,8))+N(R7)/(IF(#REF!="S",4,8))+N(S7)/(IF(#REF!="S",4,8))+N(T7)/(IF(#REF!="S",4,8))+N(U7)/(IF(#REF!="S",4,8))+N(V7)/(IF(#REF!="S",4,8))+N(W7)/(IF(#REF!="S",4,8))+N(X7)/(IF(#REF!="S",4,8))+N(Y7)/(IF(#REF!="S",4,8))+N(Z7)/(IF(#REF!="S",4,8))+N(AA7)/(IF(#REF!="S",4,8))+N(AB7)/(IF(#REF!="S",4,8))+N(AC7)/(IF(#REF!="S",4,8))+N(AD7)/(IF(#REF!="S",4,8))+N(AE7)/(IF(#REF!="S",4,8))+N(AF7)/(IF(#REF!="S",4,8))+N(AG7)/(IF(#REF!="S",4,8))+N(AH7)/(IF(#REF!="S",4,8))+N(AI7)/(IF(#REF!="S",4,8))</f>
        <v>#REF!</v>
      </c>
      <c r="AL7" s="11">
        <v>300</v>
      </c>
      <c r="AM7" s="27">
        <v>500</v>
      </c>
      <c r="AN7" s="11">
        <v>3352</v>
      </c>
      <c r="AO7" s="26"/>
      <c r="AP7" s="18"/>
    </row>
    <row r="8" spans="1:42" ht="15" customHeight="1" x14ac:dyDescent="0.3">
      <c r="A8" s="21" t="s">
        <v>16</v>
      </c>
      <c r="B8" s="21">
        <v>437</v>
      </c>
      <c r="C8" s="21" t="s">
        <v>22</v>
      </c>
      <c r="D8" s="21" t="s">
        <v>23</v>
      </c>
      <c r="E8" s="20">
        <v>1313</v>
      </c>
      <c r="F8" s="17"/>
      <c r="G8" s="32"/>
      <c r="H8" s="32"/>
      <c r="I8" s="32"/>
      <c r="J8" s="32"/>
      <c r="K8" s="32"/>
      <c r="L8" s="23"/>
      <c r="M8" s="17"/>
      <c r="N8" s="32"/>
      <c r="O8" s="32"/>
      <c r="P8" s="32"/>
      <c r="Q8" s="32"/>
      <c r="R8" s="32"/>
      <c r="S8" s="23"/>
      <c r="T8" s="17"/>
      <c r="U8" s="32"/>
      <c r="V8" s="32"/>
      <c r="W8" s="32"/>
      <c r="X8" s="32"/>
      <c r="Y8" s="32"/>
      <c r="Z8" s="23"/>
      <c r="AA8" s="17"/>
      <c r="AB8" s="32"/>
      <c r="AC8" s="32"/>
      <c r="AD8" s="35"/>
      <c r="AE8" s="32"/>
      <c r="AF8" s="32"/>
      <c r="AG8" s="23"/>
      <c r="AH8" s="17"/>
      <c r="AI8" s="32"/>
      <c r="AJ8" s="32"/>
      <c r="AK8" s="16" t="e">
        <f>N(F8)/(IF(#REF!="S",4,8))+N(G8)/(IF(#REF!="S",4,8))+N(H8)/(IF(#REF!="S",4,8))+N(I8)/(IF(#REF!="S",4,8))+N(J8)/(IF(#REF!="S",4,8))+N(K8)/(IF(#REF!="S",4,8))+N(L8)/(IF(#REF!="S",4,8))+N(M8)/(IF(#REF!="S",4,8))+N(N8)/(IF(#REF!="S",4,8))+N(O8)/(IF(#REF!="S",4,8))+N(P8)/(IF(#REF!="S",4,8))+N(Q8)/(IF(#REF!="S",4,8))+N(R8)/(IF(#REF!="S",4,8))+N(S8)/(IF(#REF!="S",4,8))+N(T8)/(IF(#REF!="S",4,8))+N(U8)/(IF(#REF!="S",4,8))+N(V8)/(IF(#REF!="S",4,8))+N(W8)/(IF(#REF!="S",4,8))+N(X8)/(IF(#REF!="S",4,8))+N(Y8)/(IF(#REF!="S",4,8))+N(Z8)/(IF(#REF!="S",4,8))+N(AA8)/(IF(#REF!="S",4,8))+N(AB8)/(IF(#REF!="S",4,8))+N(AC8)/(IF(#REF!="S",4,8))+N(AD8)/(IF(#REF!="S",4,8))+N(AE8)/(IF(#REF!="S",4,8))+N(AF8)/(IF(#REF!="S",4,8))+N(AG8)/(IF(#REF!="S",4,8))+N(AH8)/(IF(#REF!="S",4,8))+N(AI8)/(IF(#REF!="S",4,8))</f>
        <v>#REF!</v>
      </c>
      <c r="AL8" s="11">
        <v>300</v>
      </c>
      <c r="AM8" s="27">
        <v>500</v>
      </c>
      <c r="AN8" s="11">
        <v>3228</v>
      </c>
      <c r="AO8" s="26"/>
      <c r="AP8" s="18"/>
    </row>
    <row r="9" spans="1:42" ht="15" customHeight="1" x14ac:dyDescent="0.3">
      <c r="A9" s="20" t="s">
        <v>16</v>
      </c>
      <c r="B9" s="20">
        <v>529</v>
      </c>
      <c r="C9" s="21" t="s">
        <v>24</v>
      </c>
      <c r="D9" s="21" t="s">
        <v>25</v>
      </c>
      <c r="E9" s="20">
        <v>1313</v>
      </c>
      <c r="F9" s="17"/>
      <c r="G9" s="32"/>
      <c r="H9" s="32"/>
      <c r="I9" s="32"/>
      <c r="J9" s="32"/>
      <c r="K9" s="32"/>
      <c r="L9" s="23"/>
      <c r="M9" s="17"/>
      <c r="N9" s="32"/>
      <c r="O9" s="32"/>
      <c r="P9" s="32"/>
      <c r="Q9" s="32"/>
      <c r="R9" s="32"/>
      <c r="S9" s="23"/>
      <c r="T9" s="17"/>
      <c r="U9" s="32"/>
      <c r="V9" s="32"/>
      <c r="W9" s="32"/>
      <c r="X9" s="32"/>
      <c r="Y9" s="32"/>
      <c r="Z9" s="23"/>
      <c r="AA9" s="17"/>
      <c r="AB9" s="32"/>
      <c r="AC9" s="32"/>
      <c r="AD9" s="35"/>
      <c r="AE9" s="32"/>
      <c r="AF9" s="32"/>
      <c r="AG9" s="23"/>
      <c r="AH9" s="17"/>
      <c r="AI9" s="32"/>
      <c r="AJ9" s="32"/>
      <c r="AK9" s="16" t="e">
        <f>N(F9)/(IF(#REF!="S",4,8))+N(G9)/(IF(#REF!="S",4,8))+N(H9)/(IF(#REF!="S",4,8))+N(I9)/(IF(#REF!="S",4,8))+N(J9)/(IF(#REF!="S",4,8))+N(K9)/(IF(#REF!="S",4,8))+N(L9)/(IF(#REF!="S",4,8))+N(M9)/(IF(#REF!="S",4,8))+N(N9)/(IF(#REF!="S",4,8))+N(O9)/(IF(#REF!="S",4,8))+N(P9)/(IF(#REF!="S",4,8))+N(Q9)/(IF(#REF!="S",4,8))+N(R9)/(IF(#REF!="S",4,8))+N(S9)/(IF(#REF!="S",4,8))+N(T9)/(IF(#REF!="S",4,8))+N(U9)/(IF(#REF!="S",4,8))+N(V9)/(IF(#REF!="S",4,8))+N(W9)/(IF(#REF!="S",4,8))+N(X9)/(IF(#REF!="S",4,8))+N(Y9)/(IF(#REF!="S",4,8))+N(Z9)/(IF(#REF!="S",4,8))+N(AA9)/(IF(#REF!="S",4,8))+N(AB9)/(IF(#REF!="S",4,8))+N(AC9)/(IF(#REF!="S",4,8))+N(AD9)/(IF(#REF!="S",4,8))+N(AE9)/(IF(#REF!="S",4,8))+N(AF9)/(IF(#REF!="S",4,8))+N(AG9)/(IF(#REF!="S",4,8))+N(AH9)/(IF(#REF!="S",4,8))+N(AI9)/(IF(#REF!="S",4,8))</f>
        <v>#REF!</v>
      </c>
      <c r="AL9" s="11">
        <v>300</v>
      </c>
      <c r="AM9" s="27"/>
      <c r="AN9" s="11">
        <v>1697</v>
      </c>
      <c r="AO9" s="26"/>
      <c r="AP9" s="18"/>
    </row>
    <row r="10" spans="1:42" ht="15" customHeight="1" x14ac:dyDescent="0.3">
      <c r="A10" s="21" t="s">
        <v>16</v>
      </c>
      <c r="B10" s="22">
        <v>375</v>
      </c>
      <c r="C10" s="21" t="s">
        <v>26</v>
      </c>
      <c r="D10" s="21" t="s">
        <v>27</v>
      </c>
      <c r="E10" s="21" t="s">
        <v>28</v>
      </c>
      <c r="F10" s="17"/>
      <c r="G10" s="32"/>
      <c r="H10" s="32"/>
      <c r="I10" s="32"/>
      <c r="J10" s="32"/>
      <c r="K10" s="32"/>
      <c r="L10" s="23"/>
      <c r="M10" s="17"/>
      <c r="N10" s="32"/>
      <c r="O10" s="32"/>
      <c r="P10" s="32"/>
      <c r="Q10" s="32"/>
      <c r="R10" s="32"/>
      <c r="S10" s="23"/>
      <c r="T10" s="17"/>
      <c r="U10" s="32"/>
      <c r="V10" s="32"/>
      <c r="W10" s="32"/>
      <c r="X10" s="32"/>
      <c r="Y10" s="32"/>
      <c r="Z10" s="23"/>
      <c r="AA10" s="17"/>
      <c r="AB10" s="32"/>
      <c r="AC10" s="32"/>
      <c r="AD10" s="35"/>
      <c r="AE10" s="32"/>
      <c r="AF10" s="32"/>
      <c r="AG10" s="23"/>
      <c r="AH10" s="17"/>
      <c r="AI10" s="32"/>
      <c r="AJ10" s="32"/>
      <c r="AK10" s="16" t="e">
        <f>N(F10)/(IF(#REF!="S",4,8))+N(G10)/(IF(#REF!="S",4,8))+N(H10)/(IF(#REF!="S",4,8))+N(I10)/(IF(#REF!="S",4,8))+N(J10)/(IF(#REF!="S",4,8))+N(K10)/(IF(#REF!="S",4,8))+N(L10)/(IF(#REF!="S",4,8))+N(M10)/(IF(#REF!="S",4,8))+N(N10)/(IF(#REF!="S",4,8))+N(O10)/(IF(#REF!="S",4,8))+N(P10)/(IF(#REF!="S",4,8))+N(Q10)/(IF(#REF!="S",4,8))+N(R10)/(IF(#REF!="S",4,8))+N(S10)/(IF(#REF!="S",4,8))+N(T10)/(IF(#REF!="S",4,8))+N(U10)/(IF(#REF!="S",4,8))+N(V10)/(IF(#REF!="S",4,8))+N(W10)/(IF(#REF!="S",4,8))+N(X10)/(IF(#REF!="S",4,8))+N(Y10)/(IF(#REF!="S",4,8))+N(Z10)/(IF(#REF!="S",4,8))+N(AA10)/(IF(#REF!="S",4,8))+N(AB10)/(IF(#REF!="S",4,8))+N(AC10)/(IF(#REF!="S",4,8))+N(AD10)/(IF(#REF!="S",4,8))+N(AE10)/(IF(#REF!="S",4,8))+N(AF10)/(IF(#REF!="S",4,8))+N(AG10)/(IF(#REF!="S",4,8))+N(AH10)/(IF(#REF!="S",4,8))+N(AI10)/(IF(#REF!="S",4,8))</f>
        <v>#REF!</v>
      </c>
      <c r="AL10" s="11">
        <v>300</v>
      </c>
      <c r="AM10" s="27">
        <v>800</v>
      </c>
      <c r="AN10" s="11">
        <v>4870</v>
      </c>
      <c r="AO10" s="26"/>
      <c r="AP10" s="18"/>
    </row>
    <row r="11" spans="1:42" ht="15" customHeight="1" x14ac:dyDescent="0.3">
      <c r="C11" s="33"/>
      <c r="D11" s="34"/>
      <c r="E11"/>
      <c r="F11" s="33"/>
    </row>
    <row r="12" spans="1:42" ht="15" customHeight="1" x14ac:dyDescent="0.3">
      <c r="C12" s="33"/>
      <c r="D12" s="34"/>
      <c r="E12"/>
      <c r="F12" s="33"/>
    </row>
    <row r="13" spans="1:42" ht="15" customHeight="1" x14ac:dyDescent="0.3">
      <c r="C13" s="33"/>
      <c r="D13" s="34"/>
      <c r="E13"/>
      <c r="F13" s="33"/>
    </row>
    <row r="14" spans="1:42" ht="15" customHeight="1" x14ac:dyDescent="0.3">
      <c r="C14" s="33"/>
      <c r="D14" s="34"/>
      <c r="E14"/>
      <c r="F14" s="33"/>
    </row>
  </sheetData>
  <autoFilter ref="A6:AQ6" xr:uid="{0755568B-6292-4D5E-A6AD-BB9B9B06C805}">
    <sortState xmlns:xlrd2="http://schemas.microsoft.com/office/spreadsheetml/2017/richdata2" ref="A8:AQ25">
      <sortCondition ref="E6"/>
    </sortState>
  </autoFilter>
  <mergeCells count="11">
    <mergeCell ref="F2:AK3"/>
    <mergeCell ref="A5:A6"/>
    <mergeCell ref="B5:B6"/>
    <mergeCell ref="C5:D5"/>
    <mergeCell ref="E5:E6"/>
    <mergeCell ref="AK5:AK6"/>
    <mergeCell ref="AL5:AL6"/>
    <mergeCell ref="AM5:AM6"/>
    <mergeCell ref="AN5:AN6"/>
    <mergeCell ref="AO5:AO6"/>
    <mergeCell ref="AP5:AP6"/>
  </mergeCells>
  <conditionalFormatting sqref="F5:AJ5">
    <cfRule type="expression" dxfId="7" priority="134">
      <formula>AND(F6="S")</formula>
    </cfRule>
    <cfRule type="expression" dxfId="6" priority="135">
      <formula>AND(F6="D")</formula>
    </cfRule>
  </conditionalFormatting>
  <conditionalFormatting sqref="F6:AJ6">
    <cfRule type="cellIs" dxfId="5" priority="132" operator="equal">
      <formula>"S"</formula>
    </cfRule>
    <cfRule type="cellIs" dxfId="4" priority="133" operator="equal">
      <formula>"D"</formula>
    </cfRule>
  </conditionalFormatting>
  <conditionalFormatting sqref="F7:AL10">
    <cfRule type="cellIs" dxfId="3" priority="1" operator="equal">
      <formula>"SB"</formula>
    </cfRule>
    <cfRule type="cellIs" dxfId="2" priority="2" operator="equal">
      <formula>"A"</formula>
    </cfRule>
    <cfRule type="cellIs" dxfId="1" priority="3" operator="equal">
      <formula>"C"</formula>
    </cfRule>
  </conditionalFormatting>
  <conditionalFormatting sqref="AP1:AP1048576">
    <cfRule type="cellIs" dxfId="0" priority="131" operator="equal">
      <formula>2000</formula>
    </cfRule>
  </conditionalFormatting>
  <pageMargins left="0.25" right="0.25" top="0.75" bottom="0.75" header="0.3" footer="0.3"/>
  <pageSetup paperSize="9"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DC</vt:lpstr>
      <vt:lpstr>FFFFFF</vt:lpstr>
      <vt:lpstr>DC!Impression_des_titres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</dc:creator>
  <cp:lastModifiedBy>alae bendahmane</cp:lastModifiedBy>
  <cp:lastPrinted>2025-11-26T09:57:51Z</cp:lastPrinted>
  <dcterms:created xsi:type="dcterms:W3CDTF">2006-09-12T15:06:44Z</dcterms:created>
  <dcterms:modified xsi:type="dcterms:W3CDTF">2026-03-13T10:19:16Z</dcterms:modified>
</cp:coreProperties>
</file>